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mediation_Queue" sheetId="2" state="visible" r:id="rId2"/>
    <sheet xmlns:r="http://schemas.openxmlformats.org/officeDocument/2006/relationships" name="Deployment_Schedule" sheetId="3" state="visible" r:id="rId3"/>
    <sheet xmlns:r="http://schemas.openxmlformats.org/officeDocument/2006/relationships" name="Change_Control" sheetId="4" state="visible" r:id="rId4"/>
    <sheet xmlns:r="http://schemas.openxmlformats.org/officeDocument/2006/relationships" name="Patch_Library" sheetId="5" state="visible" r:id="rId5"/>
    <sheet xmlns:r="http://schemas.openxmlformats.org/officeDocument/2006/relationships" name="Testing_Validation" sheetId="6" state="visible" r:id="rId6"/>
    <sheet xmlns:r="http://schemas.openxmlformats.org/officeDocument/2006/relationships" name="Deployment_Log" sheetId="7" state="visible" r:id="rId7"/>
    <sheet xmlns:r="http://schemas.openxmlformats.org/officeDocument/2006/relationships" name="Rollback_Procedures" sheetId="8" state="visible" r:id="rId8"/>
    <sheet xmlns:r="http://schemas.openxmlformats.org/officeDocument/2006/relationships" name="SLA_Compliance" sheetId="9" state="visible" r:id="rId9"/>
    <sheet xmlns:r="http://schemas.openxmlformats.org/officeDocument/2006/relationships" name="Team_Assignments" sheetId="10" state="visible" r:id="rId10"/>
    <sheet xmlns:r="http://schemas.openxmlformats.org/officeDocument/2006/relationships" name="Communication_Log" sheetId="11" state="visible" r:id="rId11"/>
    <sheet xmlns:r="http://schemas.openxmlformats.org/officeDocument/2006/relationships" name="Lessons_Learned" sheetId="12" state="visible" r:id="rId12"/>
    <sheet xmlns:r="http://schemas.openxmlformats.org/officeDocument/2006/relationships" name="Metrics_Dashboard" sheetId="13" state="visible" r:id="rId13"/>
    <sheet xmlns:r="http://schemas.openxmlformats.org/officeDocument/2006/relationships" name="Audit_Trai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ont>
        <b val="1"/>
        <color rgb="00FFFFFF"/>
      </font>
      <fill>
        <patternFill patternType="solid">
          <fgColor rgb="00FF6B6B"/>
          <bgColor rgb="00FF6B6B"/>
        </patternFill>
      </fill>
    </dxf>
    <dxf>
      <font>
        <b val="1"/>
        <color rgb="00FFFFFF"/>
      </font>
      <fill>
        <patternFill patternType="solid">
          <fgColor rgb="009370DB"/>
          <bgColor rgb="009370DB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9370DB"/>
          <bgColor rgb="009370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ISMS-IMP-A.8.8.8</t>
        </is>
      </c>
    </row>
    <row r="2">
      <c r="A2" s="1" t="inlineStr">
        <is>
          <t>Title</t>
        </is>
      </c>
      <c r="B2" t="inlineStr">
        <is>
          <t>Vulnerability Remediation Tracking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31.01.2026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Weekly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Remediations</t>
        </is>
      </c>
      <c r="B14">
        <f>COUNTA(Remediation_Queue!A:A)-1</f>
        <v/>
      </c>
      <c r="C14" t="inlineStr">
        <is>
          <t>-</t>
        </is>
      </c>
    </row>
    <row r="15">
      <c r="A15" t="inlineStr">
        <is>
          <t>P0 In Progress</t>
        </is>
      </c>
      <c r="B15">
        <f>COUNTIFS(Remediation_Queue!T:T,"P0",Remediation_Queue!AN:AN,"&lt;&gt;Complete")</f>
        <v/>
      </c>
      <c r="C15" t="inlineStr">
        <is>
          <t>&lt;3</t>
        </is>
      </c>
    </row>
    <row r="16">
      <c r="A16" t="inlineStr">
        <is>
          <t>P1 In Progress</t>
        </is>
      </c>
      <c r="B16">
        <f>COUNTIFS(Remediation_Queue!T:T,"P1",Remediation_Queue!AN:AN,"&lt;&gt;Complete")</f>
        <v/>
      </c>
      <c r="C16" t="inlineStr">
        <is>
          <t>&lt;50</t>
        </is>
      </c>
    </row>
    <row r="17">
      <c r="A17" t="inlineStr">
        <is>
          <t>Overdue Remediations</t>
        </is>
      </c>
      <c r="B17">
        <f>COUNTIF(Remediation_Queue!X:X,"Overdue")</f>
        <v/>
      </c>
      <c r="C17" t="inlineStr">
        <is>
          <t>0</t>
        </is>
      </c>
    </row>
    <row r="18">
      <c r="A18" t="inlineStr">
        <is>
          <t>SLA Compliance Rate</t>
        </is>
      </c>
      <c r="B18">
        <f>IFERROR(1-COUNTIF(Remediation_Queue!X:X,"Overdue")/COUNTA(Remediation_Queue!A:A),0)</f>
        <v/>
      </c>
      <c r="C18" t="inlineStr">
        <is>
          <t>&gt;95%</t>
        </is>
      </c>
    </row>
    <row r="19">
      <c r="A19" t="inlineStr">
        <is>
          <t>Patches Deployed This Week</t>
        </is>
      </c>
      <c r="B19">
        <f>COUNTIFS(Deployment_Log!D:D,"&gt;="&amp;TODAY()-7,Deployment_Log!E:E,"Success")</f>
        <v/>
      </c>
      <c r="C19" t="inlineStr">
        <is>
          <t>-</t>
        </is>
      </c>
    </row>
    <row r="20">
      <c r="A20" t="inlineStr">
        <is>
          <t>Failed Deployments This Week</t>
        </is>
      </c>
      <c r="B20">
        <f>COUNTIFS(Deployment_Log!D:D,"&gt;="&amp;TODAY()-7,Deployment_Log!E:E,"Failed")</f>
        <v/>
      </c>
      <c r="C20" t="inlineStr">
        <is>
          <t>0</t>
        </is>
      </c>
    </row>
    <row r="21">
      <c r="A21" t="inlineStr">
        <is>
          <t>Pending CAB Approvals</t>
        </is>
      </c>
      <c r="B21">
        <f>COUNTIF(Change_Control!F:F,"Pending")</f>
        <v/>
      </c>
      <c r="C21" t="inlineStr">
        <is>
          <t>&lt;10</t>
        </is>
      </c>
    </row>
    <row r="22">
      <c r="A22" t="inlineStr">
        <is>
          <t>Average Remediation Time</t>
        </is>
      </c>
      <c r="B22">
        <f>IFERROR(AVERAGE(Deployment_Log!K:K)/1440,0)</f>
        <v/>
      </c>
      <c r="C22" t="inlineStr">
        <is>
          <t>&lt;14 days</t>
        </is>
      </c>
    </row>
    <row r="23">
      <c r="A23" t="inlineStr">
        <is>
          <t>Rollbacks This Month</t>
        </is>
      </c>
      <c r="B23">
        <f>COUNTIFS(Rollback_Procedures!G:G,"&gt;="&amp;EOMONTH(TODAY(),-1)+1)</f>
        <v/>
      </c>
      <c r="C23" t="inlineStr">
        <is>
          <t>0</t>
        </is>
      </c>
    </row>
    <row r="27">
      <c r="A27" s="2" t="inlineStr">
        <is>
          <t>NAVIGATION LINKS</t>
        </is>
      </c>
    </row>
    <row r="28">
      <c r="A28" s="1" t="inlineStr">
        <is>
          <t>Remediation_Queue</t>
        </is>
      </c>
      <c r="B28" t="inlineStr">
        <is>
          <t>Master remediation tracking (42 columns)</t>
        </is>
      </c>
    </row>
    <row r="29">
      <c r="A29" s="1" t="inlineStr">
        <is>
          <t>Deployment_Schedule</t>
        </is>
      </c>
      <c r="B29" t="inlineStr">
        <is>
          <t>Maintenance windows and assignments</t>
        </is>
      </c>
    </row>
    <row r="30">
      <c r="A30" s="1" t="inlineStr">
        <is>
          <t>Change_Control</t>
        </is>
      </c>
      <c r="B30" t="inlineStr">
        <is>
          <t>CAB approval workflow</t>
        </is>
      </c>
    </row>
    <row r="31">
      <c r="A31" s="1" t="inlineStr">
        <is>
          <t>Patch_Library</t>
        </is>
      </c>
      <c r="B31" t="inlineStr">
        <is>
          <t>Available patches and compatibility</t>
        </is>
      </c>
    </row>
    <row r="32">
      <c r="A32" s="1" t="inlineStr">
        <is>
          <t>Testing_Validation</t>
        </is>
      </c>
      <c r="B32" t="inlineStr">
        <is>
          <t>Pre-deployment testing results</t>
        </is>
      </c>
    </row>
    <row r="33">
      <c r="A33" s="1" t="inlineStr">
        <is>
          <t>Deployment_Log</t>
        </is>
      </c>
      <c r="B33" t="inlineStr">
        <is>
          <t>Real-time deployment execution</t>
        </is>
      </c>
    </row>
    <row r="34">
      <c r="A34" s="1" t="inlineStr">
        <is>
          <t>Rollback_Procedures</t>
        </is>
      </c>
      <c r="B34" t="inlineStr">
        <is>
          <t>Emergency rollback plans</t>
        </is>
      </c>
    </row>
    <row r="35">
      <c r="A35" s="1" t="inlineStr">
        <is>
          <t>SLA_Compliance</t>
        </is>
      </c>
      <c r="B35" t="inlineStr">
        <is>
          <t>Detailed SLA tracking and escalations</t>
        </is>
      </c>
    </row>
    <row r="36">
      <c r="A36" s="1" t="inlineStr">
        <is>
          <t>Team_Assignments</t>
        </is>
      </c>
      <c r="B36" t="inlineStr">
        <is>
          <t>Resource allocation and workload</t>
        </is>
      </c>
    </row>
    <row r="37">
      <c r="A37" s="1" t="inlineStr">
        <is>
          <t>Communication_Log</t>
        </is>
      </c>
      <c r="B37" t="inlineStr">
        <is>
          <t>Stakeholder notifications</t>
        </is>
      </c>
    </row>
    <row r="38">
      <c r="A38" s="1" t="inlineStr">
        <is>
          <t>Lessons_Learned</t>
        </is>
      </c>
      <c r="B38" t="inlineStr">
        <is>
          <t>Post-deployment reviews</t>
        </is>
      </c>
    </row>
    <row r="39">
      <c r="A39" s="1" t="inlineStr">
        <is>
          <t>Metrics_Dashboard</t>
        </is>
      </c>
      <c r="B39" t="inlineStr">
        <is>
          <t>Executive KPIs and trends</t>
        </is>
      </c>
    </row>
    <row r="40">
      <c r="A40" s="1" t="inlineStr">
        <is>
          <t>Audit_Trail</t>
        </is>
      </c>
      <c r="B40" t="inlineStr">
        <is>
          <t>Complete activity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0" customWidth="1" min="26" max="26"/>
    <col width="16" customWidth="1" min="27" max="27"/>
    <col width="20" customWidth="1" min="28" max="28"/>
    <col width="40" customWidth="1" min="29" max="29"/>
    <col width="14" customWidth="1" min="30" max="30"/>
    <col width="20" customWidth="1" min="31" max="31"/>
    <col width="18" customWidth="1" min="32" max="32"/>
    <col width="16" customWidth="1" min="33" max="33"/>
    <col width="16" customWidth="1" min="34" max="34"/>
    <col width="20" customWidth="1" min="35" max="35"/>
    <col width="12" customWidth="1" min="36" max="36"/>
    <col width="20" customWidth="1" min="37" max="37"/>
    <col width="12" customWidth="1" min="38" max="38"/>
    <col width="20" customWidth="1" min="39" max="39"/>
    <col width="16" customWidth="1" min="40" max="40"/>
    <col width="12" customWidth="1" min="41" max="41"/>
    <col width="16" customWidth="1" min="42" max="42"/>
  </cols>
  <sheetData>
    <row r="1">
      <c r="A1" s="4" t="inlineStr">
        <is>
          <t>Vuln_ID</t>
        </is>
      </c>
      <c r="B1" s="4" t="inlineStr">
        <is>
          <t>Discovery_Date</t>
        </is>
      </c>
      <c r="C1" s="4" t="inlineStr">
        <is>
          <t>CVE_ID</t>
        </is>
      </c>
      <c r="D1" s="4" t="inlineStr">
        <is>
          <t>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Scanner_Source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SLA_Days</t>
        </is>
      </c>
      <c r="V1" s="4" t="inlineStr">
        <is>
          <t>Due_Date</t>
        </is>
      </c>
      <c r="W1" s="4" t="inlineStr">
        <is>
          <t>Days_Remaining</t>
        </is>
      </c>
      <c r="X1" s="4" t="inlineStr">
        <is>
          <t>SLA_Status</t>
        </is>
      </c>
      <c r="Y1" s="4" t="inlineStr">
        <is>
          <t>Remediation_Type</t>
        </is>
      </c>
      <c r="Z1" s="4" t="inlineStr">
        <is>
          <t>Patch_ID</t>
        </is>
      </c>
      <c r="AA1" s="4" t="inlineStr">
        <is>
          <t>Patch_Version</t>
        </is>
      </c>
      <c r="AB1" s="4" t="inlineStr">
        <is>
          <t>Vendor_Advisory</t>
        </is>
      </c>
      <c r="AC1" s="4" t="inlineStr">
        <is>
          <t>Dependencies</t>
        </is>
      </c>
      <c r="AD1" s="4" t="inlineStr">
        <is>
          <t>Compatibility_Tested</t>
        </is>
      </c>
      <c r="AE1" s="4" t="inlineStr">
        <is>
          <t>Test_Environment</t>
        </is>
      </c>
      <c r="AF1" s="4" t="inlineStr">
        <is>
          <t>Change_Request_ID</t>
        </is>
      </c>
      <c r="AG1" s="4" t="inlineStr">
        <is>
          <t>Change_Type</t>
        </is>
      </c>
      <c r="AH1" s="4" t="inlineStr">
        <is>
          <t>CAB_Approval_Status</t>
        </is>
      </c>
      <c r="AI1" s="4" t="inlineStr">
        <is>
          <t>Approved_By</t>
        </is>
      </c>
      <c r="AJ1" s="4" t="inlineStr">
        <is>
          <t>Approval_Date</t>
        </is>
      </c>
      <c r="AK1" s="4" t="inlineStr">
        <is>
          <t>Deployment_Window</t>
        </is>
      </c>
      <c r="AL1" s="4" t="inlineStr">
        <is>
          <t>Scheduled_Date</t>
        </is>
      </c>
      <c r="AM1" s="4" t="inlineStr">
        <is>
          <t>Deployed_By</t>
        </is>
      </c>
      <c r="AN1" s="4" t="inlineStr">
        <is>
          <t>Deployment_Status</t>
        </is>
      </c>
      <c r="AO1" s="4" t="inlineStr">
        <is>
          <t>Actual_Deployment_Date</t>
        </is>
      </c>
      <c r="AP1" s="4" t="inlineStr">
        <is>
          <t>Verification_Status</t>
        </is>
      </c>
    </row>
    <row r="2">
      <c r="A2" t="inlineStr">
        <is>
          <t>VULN-2026-001</t>
        </is>
      </c>
      <c r="B2" s="5" t="n">
        <v>46027</v>
      </c>
      <c r="C2" t="inlineStr">
        <is>
          <t>CVE-2025-12345</t>
        </is>
      </c>
      <c r="D2" t="inlineStr">
        <is>
          <t>Remote Code Execution in Apache Struts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H2" t="inlineStr">
        <is>
          <t>Security Team</t>
        </is>
      </c>
      <c r="I2" t="inlineStr">
        <is>
          <t>Nessus</t>
        </is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9.300000000000001</v>
      </c>
      <c r="N2" t="inlineStr">
        <is>
          <t>CVSS:4.0/AV:N/AC:L/AT:N/PR:N/UI:N/VC:H/VI:H/VA:H/SC:N/SI:N/SA:N</t>
        </is>
      </c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S2" s="5" t="n">
        <v>46027</v>
      </c>
      <c r="T2" t="inlineStr">
        <is>
          <t>P0</t>
        </is>
      </c>
      <c r="U2" t="n">
        <v>1</v>
      </c>
      <c r="V2" s="5" t="n">
        <v>46028</v>
      </c>
      <c r="W2">
        <f>IF(V2&lt;&gt;"",NETWORKDAYS(TODAY(),V2),"")</f>
        <v/>
      </c>
      <c r="X2">
        <f>IF(AN2="Complete","Complete",IF(W2&lt;0,"Overdue",IF(W2&lt;=U2*0.2,"At Risk","On Track")))</f>
        <v/>
      </c>
      <c r="Y2" t="inlineStr">
        <is>
          <t>Patch</t>
        </is>
      </c>
      <c r="Z2" t="inlineStr">
        <is>
          <t>STRUTS-2025-001</t>
        </is>
      </c>
      <c r="AF2" t="inlineStr">
        <is>
          <t>CR-2026-EMG-001</t>
        </is>
      </c>
      <c r="AG2" t="inlineStr">
        <is>
          <t>Emergency</t>
        </is>
      </c>
      <c r="AH2" t="inlineStr">
        <is>
          <t>Approved</t>
        </is>
      </c>
      <c r="AI2" t="inlineStr">
        <is>
          <t>CISO</t>
        </is>
      </c>
      <c r="AJ2" s="5" t="n">
        <v>46027</v>
      </c>
      <c r="AK2" t="inlineStr">
        <is>
          <t>Emergency: Immediate</t>
        </is>
      </c>
      <c r="AN2" t="inlineStr">
        <is>
          <t>Complete</t>
        </is>
      </c>
      <c r="AO2" s="5" t="n">
        <v>46028</v>
      </c>
      <c r="AP2" t="inlineStr">
        <is>
          <t>Passed</t>
        </is>
      </c>
    </row>
    <row r="3">
      <c r="A3" t="inlineStr">
        <is>
          <t>VULN-2026-002</t>
        </is>
      </c>
      <c r="B3" s="5" t="n">
        <v>46030</v>
      </c>
      <c r="C3" t="inlineStr">
        <is>
          <t>CVE-2025-67890</t>
        </is>
      </c>
      <c r="D3" t="inlineStr">
        <is>
          <t>SQL Injection in Web Application</t>
        </is>
      </c>
      <c r="E3" t="inlineStr">
        <is>
          <t>app-db-01.dmz.local</t>
        </is>
      </c>
      <c r="F3" t="inlineStr">
        <is>
          <t>Application</t>
        </is>
      </c>
      <c r="G3" t="inlineStr">
        <is>
          <t>DMZ</t>
        </is>
      </c>
      <c r="H3" t="inlineStr">
        <is>
          <t>Application Team</t>
        </is>
      </c>
      <c r="I3" t="inlineStr">
        <is>
          <t>Qualys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</v>
      </c>
      <c r="N3" t="inlineStr">
        <is>
          <t>CVSS:4.0/AV:N/AC:L/AT:N/PR:N/UI:N/VC:H/VI:L/VA:N/SC:N/SI:N/SA:N</t>
        </is>
      </c>
      <c r="P3" t="inlineStr">
        <is>
          <t>N</t>
        </is>
      </c>
      <c r="Q3" t="inlineStr">
        <is>
          <t>N</t>
        </is>
      </c>
      <c r="R3" t="inlineStr">
        <is>
          <t>NVD</t>
        </is>
      </c>
      <c r="S3" s="5" t="n">
        <v>46030</v>
      </c>
      <c r="T3" t="inlineStr">
        <is>
          <t>P1</t>
        </is>
      </c>
      <c r="U3" t="n">
        <v>7</v>
      </c>
      <c r="V3" s="5" t="n">
        <v>46037</v>
      </c>
      <c r="W3">
        <f>IF(V3&lt;&gt;"",NETWORKDAYS(TODAY(),V3),"")</f>
        <v/>
      </c>
      <c r="X3">
        <f>IF(AN3="Complete","Complete",IF(W3&lt;0,"Overdue",IF(W3&lt;=U3*0.2,"At Risk","On Track")))</f>
        <v/>
      </c>
      <c r="Y3" t="inlineStr">
        <is>
          <t>Configuration Change</t>
        </is>
      </c>
      <c r="AF3" t="inlineStr">
        <is>
          <t>CR-2026-0123</t>
        </is>
      </c>
      <c r="AG3" t="inlineStr">
        <is>
          <t>Normal</t>
        </is>
      </c>
      <c r="AH3" t="inlineStr">
        <is>
          <t>Pending</t>
        </is>
      </c>
      <c r="AK3" t="inlineStr">
        <is>
          <t>MW1: Wed 22:00-02:00</t>
        </is>
      </c>
      <c r="AL3" s="5" t="n">
        <v>46037</v>
      </c>
      <c r="AN3" t="inlineStr">
        <is>
          <t>Scheduled</t>
        </is>
      </c>
    </row>
    <row r="4">
      <c r="A4" t="inlineStr">
        <is>
          <t>VULN-2026-003</t>
        </is>
      </c>
      <c r="B4" s="5" t="n">
        <v>46032</v>
      </c>
      <c r="C4" t="inlineStr">
        <is>
          <t>CVE-2025-11111</t>
        </is>
      </c>
      <c r="D4" t="inlineStr">
        <is>
          <t>Authentication Bypass in API</t>
        </is>
      </c>
      <c r="E4" t="inlineStr">
        <is>
          <t>api-gateway.prod.local</t>
        </is>
      </c>
      <c r="F4" t="inlineStr">
        <is>
          <t>Application</t>
        </is>
      </c>
      <c r="G4" t="inlineStr">
        <is>
          <t>Production</t>
        </is>
      </c>
      <c r="H4" t="inlineStr">
        <is>
          <t>Application Team</t>
        </is>
      </c>
      <c r="I4" t="inlineStr">
        <is>
          <t>Manual Assessment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7.5</v>
      </c>
      <c r="N4" t="inlineStr">
        <is>
          <t>CVSS:4.0/AV:N/AC:L/AT:N/PR:L/UI:N/VC:H/VI:L/VA:N/SC:N/SI:N/SA:N</t>
        </is>
      </c>
      <c r="P4" t="inlineStr">
        <is>
          <t>N</t>
        </is>
      </c>
      <c r="Q4" t="inlineStr">
        <is>
          <t>N</t>
        </is>
      </c>
      <c r="R4" t="inlineStr">
        <is>
          <t>Vendor</t>
        </is>
      </c>
      <c r="S4" s="5" t="n">
        <v>46032</v>
      </c>
      <c r="T4" t="inlineStr">
        <is>
          <t>P2</t>
        </is>
      </c>
      <c r="U4" t="n">
        <v>30</v>
      </c>
      <c r="V4" s="5" t="n">
        <v>46062</v>
      </c>
      <c r="W4">
        <f>IF(V4&lt;&gt;"",NETWORKDAYS(TODAY(),V4),"")</f>
        <v/>
      </c>
      <c r="X4">
        <f>IF(AN4="Complete","Complete",IF(W4&lt;0,"Overdue",IF(W4&lt;=U4*0.2,"At Risk","On Track")))</f>
        <v/>
      </c>
      <c r="Y4" t="inlineStr">
        <is>
          <t>Patch</t>
        </is>
      </c>
      <c r="Z4" t="inlineStr">
        <is>
          <t>API-2025-789</t>
        </is>
      </c>
      <c r="AF4" t="inlineStr">
        <is>
          <t>CR-2026-0145</t>
        </is>
      </c>
      <c r="AG4" t="inlineStr">
        <is>
          <t>Normal</t>
        </is>
      </c>
      <c r="AH4" t="inlineStr">
        <is>
          <t>Approved</t>
        </is>
      </c>
      <c r="AJ4" s="5" t="n">
        <v>46032</v>
      </c>
      <c r="AK4" t="inlineStr">
        <is>
          <t>MW2: Sat 20:00-06:00</t>
        </is>
      </c>
      <c r="AN4" t="inlineStr">
        <is>
          <t>Rolled Back</t>
        </is>
      </c>
      <c r="AO4" s="5" t="n">
        <v>46033</v>
      </c>
      <c r="AP4" t="inlineStr">
        <is>
          <t>Failed</t>
        </is>
      </c>
    </row>
    <row r="5">
      <c r="A5" t="inlineStr">
        <is>
          <t>VULN-2026-004</t>
        </is>
      </c>
      <c r="B5" s="5" t="n">
        <v>45945</v>
      </c>
      <c r="C5" t="inlineStr">
        <is>
          <t>CVE-2025-22222</t>
        </is>
      </c>
      <c r="D5" t="inlineStr">
        <is>
          <t>Cross-Site Scripting in Admin Panel</t>
        </is>
      </c>
      <c r="E5" t="inlineStr">
        <is>
          <t>admin.dev.local</t>
        </is>
      </c>
      <c r="F5" t="inlineStr">
        <is>
          <t>Application</t>
        </is>
      </c>
      <c r="G5" t="inlineStr">
        <is>
          <t>Development</t>
        </is>
      </c>
      <c r="H5" t="inlineStr">
        <is>
          <t>Application Team</t>
        </is>
      </c>
      <c r="I5" t="inlineStr">
        <is>
          <t>OpenVAS</t>
        </is>
      </c>
      <c r="J5" t="inlineStr">
        <is>
          <t>v3.1</t>
        </is>
      </c>
      <c r="K5">
        <f>IF(J5="v4.0",L5,IF(J5="v3.1",M5,IF(J5="Both",L5,IF(AND(L5&lt;&gt;"",M5=""),L5,M5))))</f>
        <v/>
      </c>
      <c r="M5" t="n">
        <v>5.4</v>
      </c>
      <c r="O5" t="inlineStr">
        <is>
          <t>CVSS:3.1/AV:N/AC:L/PR:L/UI:R/S:C/C:L/I:L/A:N</t>
        </is>
      </c>
      <c r="P5" t="inlineStr">
        <is>
          <t>N/A</t>
        </is>
      </c>
      <c r="Q5" t="inlineStr">
        <is>
          <t>N/A</t>
        </is>
      </c>
      <c r="R5" t="inlineStr">
        <is>
          <t>Scanner</t>
        </is>
      </c>
      <c r="S5" s="5" t="n">
        <v>45945</v>
      </c>
      <c r="T5" t="inlineStr">
        <is>
          <t>P3</t>
        </is>
      </c>
      <c r="U5" t="n">
        <v>90</v>
      </c>
      <c r="V5" s="5" t="n">
        <v>46035</v>
      </c>
      <c r="W5">
        <f>IF(V5&lt;&gt;"",NETWORKDAYS(TODAY(),V5),"")</f>
        <v/>
      </c>
      <c r="X5">
        <f>IF(AN5="Complete","Complete",IF(W5&lt;0,"Overdue",IF(W5&lt;=U5*0.2,"At Risk","On Track")))</f>
        <v/>
      </c>
      <c r="Y5" t="inlineStr">
        <is>
          <t>Patch</t>
        </is>
      </c>
      <c r="AL5" s="5" t="n">
        <v>46042</v>
      </c>
      <c r="AN5" t="inlineStr">
        <is>
          <t>Scheduled</t>
        </is>
      </c>
    </row>
    <row r="6">
      <c r="K6">
        <f>IF(J6="v4.0",L6,IF(J6="v3.1",M6,IF(J6="Both",L6,IF(AND(L6&lt;&gt;"",M6=""),L6,M6))))</f>
        <v/>
      </c>
      <c r="W6">
        <f>IF(V6&lt;&gt;"",NETWORKDAYS(TODAY(),V6),"")</f>
        <v/>
      </c>
      <c r="X6">
        <f>IF(AN6="Complete","Complete",IF(W6&lt;0,"Overdue",IF(W6&lt;=U6*0.2,"At Risk","On Track")))</f>
        <v/>
      </c>
    </row>
    <row r="7">
      <c r="K7">
        <f>IF(J7="v4.0",L7,IF(J7="v3.1",M7,IF(J7="Both",L7,IF(AND(L7&lt;&gt;"",M7=""),L7,M7))))</f>
        <v/>
      </c>
      <c r="W7">
        <f>IF(V7&lt;&gt;"",NETWORKDAYS(TODAY(),V7),"")</f>
        <v/>
      </c>
      <c r="X7">
        <f>IF(AN7="Complete","Complete",IF(W7&lt;0,"Overdue",IF(W7&lt;=U7*0.2,"At Risk","On Track")))</f>
        <v/>
      </c>
    </row>
    <row r="8">
      <c r="K8">
        <f>IF(J8="v4.0",L8,IF(J8="v3.1",M8,IF(J8="Both",L8,IF(AND(L8&lt;&gt;"",M8=""),L8,M8))))</f>
        <v/>
      </c>
      <c r="W8">
        <f>IF(V8&lt;&gt;"",NETWORKDAYS(TODAY(),V8),"")</f>
        <v/>
      </c>
      <c r="X8">
        <f>IF(AN8="Complete","Complete",IF(W8&lt;0,"Overdue",IF(W8&lt;=U8*0.2,"At Risk","On Track")))</f>
        <v/>
      </c>
    </row>
    <row r="9">
      <c r="K9">
        <f>IF(J9="v4.0",L9,IF(J9="v3.1",M9,IF(J9="Both",L9,IF(AND(L9&lt;&gt;"",M9=""),L9,M9))))</f>
        <v/>
      </c>
      <c r="W9">
        <f>IF(V9&lt;&gt;"",NETWORKDAYS(TODAY(),V9),"")</f>
        <v/>
      </c>
      <c r="X9">
        <f>IF(AN9="Complete","Complete",IF(W9&lt;0,"Overdue",IF(W9&lt;=U9*0.2,"At Risk","On Track")))</f>
        <v/>
      </c>
    </row>
    <row r="10">
      <c r="K10">
        <f>IF(J10="v4.0",L10,IF(J10="v3.1",M10,IF(J10="Both",L10,IF(AND(L10&lt;&gt;"",M10=""),L10,M10))))</f>
        <v/>
      </c>
      <c r="W10">
        <f>IF(V10&lt;&gt;"",NETWORKDAYS(TODAY(),V10),"")</f>
        <v/>
      </c>
      <c r="X10">
        <f>IF(AN10="Complete","Complete",IF(W10&lt;0,"Overdue",IF(W10&lt;=U10*0.2,"At Risk","On Track")))</f>
        <v/>
      </c>
    </row>
    <row r="11">
      <c r="K11">
        <f>IF(J11="v4.0",L11,IF(J11="v3.1",M11,IF(J11="Both",L11,IF(AND(L11&lt;&gt;"",M11=""),L11,M11))))</f>
        <v/>
      </c>
      <c r="W11">
        <f>IF(V11&lt;&gt;"",NETWORKDAYS(TODAY(),V11),"")</f>
        <v/>
      </c>
      <c r="X11">
        <f>IF(AN11="Complete","Complete",IF(W11&lt;0,"Overdue",IF(W11&lt;=U11*0.2,"At Risk","On Track")))</f>
        <v/>
      </c>
    </row>
    <row r="12">
      <c r="K12">
        <f>IF(J12="v4.0",L12,IF(J12="v3.1",M12,IF(J12="Both",L12,IF(AND(L12&lt;&gt;"",M12=""),L12,M12))))</f>
        <v/>
      </c>
      <c r="W12">
        <f>IF(V12&lt;&gt;"",NETWORKDAYS(TODAY(),V12),"")</f>
        <v/>
      </c>
      <c r="X12">
        <f>IF(AN12="Complete","Complete",IF(W12&lt;0,"Overdue",IF(W12&lt;=U12*0.2,"At Risk","On Track")))</f>
        <v/>
      </c>
    </row>
    <row r="13">
      <c r="K13">
        <f>IF(J13="v4.0",L13,IF(J13="v3.1",M13,IF(J13="Both",L13,IF(AND(L13&lt;&gt;"",M13=""),L13,M13))))</f>
        <v/>
      </c>
      <c r="W13">
        <f>IF(V13&lt;&gt;"",NETWORKDAYS(TODAY(),V13),"")</f>
        <v/>
      </c>
      <c r="X13">
        <f>IF(AN13="Complete","Complete",IF(W13&lt;0,"Overdue",IF(W13&lt;=U13*0.2,"At Risk","On Track")))</f>
        <v/>
      </c>
    </row>
    <row r="14">
      <c r="K14">
        <f>IF(J14="v4.0",L14,IF(J14="v3.1",M14,IF(J14="Both",L14,IF(AND(L14&lt;&gt;"",M14=""),L14,M14))))</f>
        <v/>
      </c>
      <c r="W14">
        <f>IF(V14&lt;&gt;"",NETWORKDAYS(TODAY(),V14),"")</f>
        <v/>
      </c>
      <c r="X14">
        <f>IF(AN14="Complete","Complete",IF(W14&lt;0,"Overdue",IF(W14&lt;=U14*0.2,"At Risk","On Track")))</f>
        <v/>
      </c>
    </row>
    <row r="15">
      <c r="K15">
        <f>IF(J15="v4.0",L15,IF(J15="v3.1",M15,IF(J15="Both",L15,IF(AND(L15&lt;&gt;"",M15=""),L15,M15))))</f>
        <v/>
      </c>
      <c r="W15">
        <f>IF(V15&lt;&gt;"",NETWORKDAYS(TODAY(),V15),"")</f>
        <v/>
      </c>
      <c r="X15">
        <f>IF(AN15="Complete","Complete",IF(W15&lt;0,"Overdue",IF(W15&lt;=U15*0.2,"At Risk","On Track")))</f>
        <v/>
      </c>
    </row>
    <row r="16">
      <c r="K16">
        <f>IF(J16="v4.0",L16,IF(J16="v3.1",M16,IF(J16="Both",L16,IF(AND(L16&lt;&gt;"",M16=""),L16,M16))))</f>
        <v/>
      </c>
      <c r="W16">
        <f>IF(V16&lt;&gt;"",NETWORKDAYS(TODAY(),V16),"")</f>
        <v/>
      </c>
      <c r="X16">
        <f>IF(AN16="Complete","Complete",IF(W16&lt;0,"Overdue",IF(W16&lt;=U16*0.2,"At Risk","On Track")))</f>
        <v/>
      </c>
    </row>
    <row r="17">
      <c r="K17">
        <f>IF(J17="v4.0",L17,IF(J17="v3.1",M17,IF(J17="Both",L17,IF(AND(L17&lt;&gt;"",M17=""),L17,M17))))</f>
        <v/>
      </c>
      <c r="W17">
        <f>IF(V17&lt;&gt;"",NETWORKDAYS(TODAY(),V17),"")</f>
        <v/>
      </c>
      <c r="X17">
        <f>IF(AN17="Complete","Complete",IF(W17&lt;0,"Overdue",IF(W17&lt;=U17*0.2,"At Risk","On Track")))</f>
        <v/>
      </c>
    </row>
    <row r="18">
      <c r="K18">
        <f>IF(J18="v4.0",L18,IF(J18="v3.1",M18,IF(J18="Both",L18,IF(AND(L18&lt;&gt;"",M18=""),L18,M18))))</f>
        <v/>
      </c>
      <c r="W18">
        <f>IF(V18&lt;&gt;"",NETWORKDAYS(TODAY(),V18),"")</f>
        <v/>
      </c>
      <c r="X18">
        <f>IF(AN18="Complete","Complete",IF(W18&lt;0,"Overdue",IF(W18&lt;=U18*0.2,"At Risk","On Track")))</f>
        <v/>
      </c>
    </row>
    <row r="19">
      <c r="K19">
        <f>IF(J19="v4.0",L19,IF(J19="v3.1",M19,IF(J19="Both",L19,IF(AND(L19&lt;&gt;"",M19=""),L19,M19))))</f>
        <v/>
      </c>
      <c r="W19">
        <f>IF(V19&lt;&gt;"",NETWORKDAYS(TODAY(),V19),"")</f>
        <v/>
      </c>
      <c r="X19">
        <f>IF(AN19="Complete","Complete",IF(W19&lt;0,"Overdue",IF(W19&lt;=U19*0.2,"At Risk","On Track")))</f>
        <v/>
      </c>
    </row>
    <row r="20">
      <c r="K20">
        <f>IF(J20="v4.0",L20,IF(J20="v3.1",M20,IF(J20="Both",L20,IF(AND(L20&lt;&gt;"",M20=""),L20,M20))))</f>
        <v/>
      </c>
      <c r="W20">
        <f>IF(V20&lt;&gt;"",NETWORKDAYS(TODAY(),V20),"")</f>
        <v/>
      </c>
      <c r="X20">
        <f>IF(AN20="Complete","Complete",IF(W20&lt;0,"Overdue",IF(W20&lt;=U20*0.2,"At Risk","On Track")))</f>
        <v/>
      </c>
    </row>
    <row r="21">
      <c r="K21">
        <f>IF(J21="v4.0",L21,IF(J21="v3.1",M21,IF(J21="Both",L21,IF(AND(L21&lt;&gt;"",M21=""),L21,M21))))</f>
        <v/>
      </c>
      <c r="W21">
        <f>IF(V21&lt;&gt;"",NETWORKDAYS(TODAY(),V21),"")</f>
        <v/>
      </c>
      <c r="X21">
        <f>IF(AN21="Complete","Complete",IF(W21&lt;0,"Overdue",IF(W21&lt;=U21*0.2,"At Risk","On Track")))</f>
        <v/>
      </c>
    </row>
    <row r="22">
      <c r="K22">
        <f>IF(J22="v4.0",L22,IF(J22="v3.1",M22,IF(J22="Both",L22,IF(AND(L22&lt;&gt;"",M22=""),L22,M22))))</f>
        <v/>
      </c>
      <c r="W22">
        <f>IF(V22&lt;&gt;"",NETWORKDAYS(TODAY(),V22),"")</f>
        <v/>
      </c>
      <c r="X22">
        <f>IF(AN22="Complete","Complete",IF(W22&lt;0,"Overdue",IF(W22&lt;=U22*0.2,"At Risk","On Track")))</f>
        <v/>
      </c>
    </row>
    <row r="23">
      <c r="K23">
        <f>IF(J23="v4.0",L23,IF(J23="v3.1",M23,IF(J23="Both",L23,IF(AND(L23&lt;&gt;"",M23=""),L23,M23))))</f>
        <v/>
      </c>
      <c r="W23">
        <f>IF(V23&lt;&gt;"",NETWORKDAYS(TODAY(),V23),"")</f>
        <v/>
      </c>
      <c r="X23">
        <f>IF(AN23="Complete","Complete",IF(W23&lt;0,"Overdue",IF(W23&lt;=U23*0.2,"At Risk","On Track")))</f>
        <v/>
      </c>
    </row>
    <row r="24">
      <c r="K24">
        <f>IF(J24="v4.0",L24,IF(J24="v3.1",M24,IF(J24="Both",L24,IF(AND(L24&lt;&gt;"",M24=""),L24,M24))))</f>
        <v/>
      </c>
      <c r="W24">
        <f>IF(V24&lt;&gt;"",NETWORKDAYS(TODAY(),V24),"")</f>
        <v/>
      </c>
      <c r="X24">
        <f>IF(AN24="Complete","Complete",IF(W24&lt;0,"Overdue",IF(W24&lt;=U24*0.2,"At Risk","On Track")))</f>
        <v/>
      </c>
    </row>
    <row r="25">
      <c r="K25">
        <f>IF(J25="v4.0",L25,IF(J25="v3.1",M25,IF(J25="Both",L25,IF(AND(L25&lt;&gt;"",M25=""),L25,M25))))</f>
        <v/>
      </c>
      <c r="W25">
        <f>IF(V25&lt;&gt;"",NETWORKDAYS(TODAY(),V25),"")</f>
        <v/>
      </c>
      <c r="X25">
        <f>IF(AN25="Complete","Complete",IF(W25&lt;0,"Overdue",IF(W25&lt;=U25*0.2,"At Risk","On Track")))</f>
        <v/>
      </c>
    </row>
    <row r="26">
      <c r="K26">
        <f>IF(J26="v4.0",L26,IF(J26="v3.1",M26,IF(J26="Both",L26,IF(AND(L26&lt;&gt;"",M26=""),L26,M26))))</f>
        <v/>
      </c>
      <c r="W26">
        <f>IF(V26&lt;&gt;"",NETWORKDAYS(TODAY(),V26),"")</f>
        <v/>
      </c>
      <c r="X26">
        <f>IF(AN26="Complete","Complete",IF(W26&lt;0,"Overdue",IF(W26&lt;=U26*0.2,"At Risk","On Track")))</f>
        <v/>
      </c>
    </row>
    <row r="27">
      <c r="K27">
        <f>IF(J27="v4.0",L27,IF(J27="v3.1",M27,IF(J27="Both",L27,IF(AND(L27&lt;&gt;"",M27=""),L27,M27))))</f>
        <v/>
      </c>
      <c r="W27">
        <f>IF(V27&lt;&gt;"",NETWORKDAYS(TODAY(),V27),"")</f>
        <v/>
      </c>
      <c r="X27">
        <f>IF(AN27="Complete","Complete",IF(W27&lt;0,"Overdue",IF(W27&lt;=U27*0.2,"At Risk","On Track")))</f>
        <v/>
      </c>
    </row>
    <row r="28">
      <c r="K28">
        <f>IF(J28="v4.0",L28,IF(J28="v3.1",M28,IF(J28="Both",L28,IF(AND(L28&lt;&gt;"",M28=""),L28,M28))))</f>
        <v/>
      </c>
      <c r="W28">
        <f>IF(V28&lt;&gt;"",NETWORKDAYS(TODAY(),V28),"")</f>
        <v/>
      </c>
      <c r="X28">
        <f>IF(AN28="Complete","Complete",IF(W28&lt;0,"Overdue",IF(W28&lt;=U28*0.2,"At Risk","On Track")))</f>
        <v/>
      </c>
    </row>
    <row r="29">
      <c r="K29">
        <f>IF(J29="v4.0",L29,IF(J29="v3.1",M29,IF(J29="Both",L29,IF(AND(L29&lt;&gt;"",M29=""),L29,M29))))</f>
        <v/>
      </c>
      <c r="W29">
        <f>IF(V29&lt;&gt;"",NETWORKDAYS(TODAY(),V29),"")</f>
        <v/>
      </c>
      <c r="X29">
        <f>IF(AN29="Complete","Complete",IF(W29&lt;0,"Overdue",IF(W29&lt;=U29*0.2,"At Risk","On Track")))</f>
        <v/>
      </c>
    </row>
    <row r="30">
      <c r="K30">
        <f>IF(J30="v4.0",L30,IF(J30="v3.1",M30,IF(J30="Both",L30,IF(AND(L30&lt;&gt;"",M30=""),L30,M30))))</f>
        <v/>
      </c>
      <c r="W30">
        <f>IF(V30&lt;&gt;"",NETWORKDAYS(TODAY(),V30),"")</f>
        <v/>
      </c>
      <c r="X30">
        <f>IF(AN30="Complete","Complete",IF(W30&lt;0,"Overdue",IF(W30&lt;=U30*0.2,"At Risk","On Track")))</f>
        <v/>
      </c>
    </row>
    <row r="31">
      <c r="K31">
        <f>IF(J31="v4.0",L31,IF(J31="v3.1",M31,IF(J31="Both",L31,IF(AND(L31&lt;&gt;"",M31=""),L31,M31))))</f>
        <v/>
      </c>
      <c r="W31">
        <f>IF(V31&lt;&gt;"",NETWORKDAYS(TODAY(),V31),"")</f>
        <v/>
      </c>
      <c r="X31">
        <f>IF(AN31="Complete","Complete",IF(W31&lt;0,"Overdue",IF(W31&lt;=U31*0.2,"At Risk","On Track")))</f>
        <v/>
      </c>
    </row>
    <row r="32">
      <c r="K32">
        <f>IF(J32="v4.0",L32,IF(J32="v3.1",M32,IF(J32="Both",L32,IF(AND(L32&lt;&gt;"",M32=""),L32,M32))))</f>
        <v/>
      </c>
      <c r="W32">
        <f>IF(V32&lt;&gt;"",NETWORKDAYS(TODAY(),V32),"")</f>
        <v/>
      </c>
      <c r="X32">
        <f>IF(AN32="Complete","Complete",IF(W32&lt;0,"Overdue",IF(W32&lt;=U32*0.2,"At Risk","On Track")))</f>
        <v/>
      </c>
    </row>
    <row r="33">
      <c r="K33">
        <f>IF(J33="v4.0",L33,IF(J33="v3.1",M33,IF(J33="Both",L33,IF(AND(L33&lt;&gt;"",M33=""),L33,M33))))</f>
        <v/>
      </c>
      <c r="W33">
        <f>IF(V33&lt;&gt;"",NETWORKDAYS(TODAY(),V33),"")</f>
        <v/>
      </c>
      <c r="X33">
        <f>IF(AN33="Complete","Complete",IF(W33&lt;0,"Overdue",IF(W33&lt;=U33*0.2,"At Risk","On Track")))</f>
        <v/>
      </c>
    </row>
    <row r="34">
      <c r="K34">
        <f>IF(J34="v4.0",L34,IF(J34="v3.1",M34,IF(J34="Both",L34,IF(AND(L34&lt;&gt;"",M34=""),L34,M34))))</f>
        <v/>
      </c>
      <c r="W34">
        <f>IF(V34&lt;&gt;"",NETWORKDAYS(TODAY(),V34),"")</f>
        <v/>
      </c>
      <c r="X34">
        <f>IF(AN34="Complete","Complete",IF(W34&lt;0,"Overdue",IF(W34&lt;=U34*0.2,"At Risk","On Track")))</f>
        <v/>
      </c>
    </row>
    <row r="35">
      <c r="K35">
        <f>IF(J35="v4.0",L35,IF(J35="v3.1",M35,IF(J35="Both",L35,IF(AND(L35&lt;&gt;"",M35=""),L35,M35))))</f>
        <v/>
      </c>
      <c r="W35">
        <f>IF(V35&lt;&gt;"",NETWORKDAYS(TODAY(),V35),"")</f>
        <v/>
      </c>
      <c r="X35">
        <f>IF(AN35="Complete","Complete",IF(W35&lt;0,"Overdue",IF(W35&lt;=U35*0.2,"At Risk","On Track")))</f>
        <v/>
      </c>
    </row>
    <row r="36">
      <c r="K36">
        <f>IF(J36="v4.0",L36,IF(J36="v3.1",M36,IF(J36="Both",L36,IF(AND(L36&lt;&gt;"",M36=""),L36,M36))))</f>
        <v/>
      </c>
      <c r="W36">
        <f>IF(V36&lt;&gt;"",NETWORKDAYS(TODAY(),V36),"")</f>
        <v/>
      </c>
      <c r="X36">
        <f>IF(AN36="Complete","Complete",IF(W36&lt;0,"Overdue",IF(W36&lt;=U36*0.2,"At Risk","On Track")))</f>
        <v/>
      </c>
    </row>
    <row r="37">
      <c r="K37">
        <f>IF(J37="v4.0",L37,IF(J37="v3.1",M37,IF(J37="Both",L37,IF(AND(L37&lt;&gt;"",M37=""),L37,M37))))</f>
        <v/>
      </c>
      <c r="W37">
        <f>IF(V37&lt;&gt;"",NETWORKDAYS(TODAY(),V37),"")</f>
        <v/>
      </c>
      <c r="X37">
        <f>IF(AN37="Complete","Complete",IF(W37&lt;0,"Overdue",IF(W37&lt;=U37*0.2,"At Risk","On Track")))</f>
        <v/>
      </c>
    </row>
    <row r="38">
      <c r="K38">
        <f>IF(J38="v4.0",L38,IF(J38="v3.1",M38,IF(J38="Both",L38,IF(AND(L38&lt;&gt;"",M38=""),L38,M38))))</f>
        <v/>
      </c>
      <c r="W38">
        <f>IF(V38&lt;&gt;"",NETWORKDAYS(TODAY(),V38),"")</f>
        <v/>
      </c>
      <c r="X38">
        <f>IF(AN38="Complete","Complete",IF(W38&lt;0,"Overdue",IF(W38&lt;=U38*0.2,"At Risk","On Track")))</f>
        <v/>
      </c>
    </row>
    <row r="39">
      <c r="K39">
        <f>IF(J39="v4.0",L39,IF(J39="v3.1",M39,IF(J39="Both",L39,IF(AND(L39&lt;&gt;"",M39=""),L39,M39))))</f>
        <v/>
      </c>
      <c r="W39">
        <f>IF(V39&lt;&gt;"",NETWORKDAYS(TODAY(),V39),"")</f>
        <v/>
      </c>
      <c r="X39">
        <f>IF(AN39="Complete","Complete",IF(W39&lt;0,"Overdue",IF(W39&lt;=U39*0.2,"At Risk","On Track")))</f>
        <v/>
      </c>
    </row>
    <row r="40">
      <c r="K40">
        <f>IF(J40="v4.0",L40,IF(J40="v3.1",M40,IF(J40="Both",L40,IF(AND(L40&lt;&gt;"",M40=""),L40,M40))))</f>
        <v/>
      </c>
      <c r="W40">
        <f>IF(V40&lt;&gt;"",NETWORKDAYS(TODAY(),V40),"")</f>
        <v/>
      </c>
      <c r="X40">
        <f>IF(AN40="Complete","Complete",IF(W40&lt;0,"Overdue",IF(W40&lt;=U40*0.2,"At Risk","On Track")))</f>
        <v/>
      </c>
    </row>
    <row r="41">
      <c r="K41">
        <f>IF(J41="v4.0",L41,IF(J41="v3.1",M41,IF(J41="Both",L41,IF(AND(L41&lt;&gt;"",M41=""),L41,M41))))</f>
        <v/>
      </c>
      <c r="W41">
        <f>IF(V41&lt;&gt;"",NETWORKDAYS(TODAY(),V41),"")</f>
        <v/>
      </c>
      <c r="X41">
        <f>IF(AN41="Complete","Complete",IF(W41&lt;0,"Overdue",IF(W41&lt;=U41*0.2,"At Risk","On Track")))</f>
        <v/>
      </c>
    </row>
    <row r="42">
      <c r="K42">
        <f>IF(J42="v4.0",L42,IF(J42="v3.1",M42,IF(J42="Both",L42,IF(AND(L42&lt;&gt;"",M42=""),L42,M42))))</f>
        <v/>
      </c>
      <c r="W42">
        <f>IF(V42&lt;&gt;"",NETWORKDAYS(TODAY(),V42),"")</f>
        <v/>
      </c>
      <c r="X42">
        <f>IF(AN42="Complete","Complete",IF(W42&lt;0,"Overdue",IF(W42&lt;=U42*0.2,"At Risk","On Track")))</f>
        <v/>
      </c>
    </row>
    <row r="43">
      <c r="K43">
        <f>IF(J43="v4.0",L43,IF(J43="v3.1",M43,IF(J43="Both",L43,IF(AND(L43&lt;&gt;"",M43=""),L43,M43))))</f>
        <v/>
      </c>
      <c r="W43">
        <f>IF(V43&lt;&gt;"",NETWORKDAYS(TODAY(),V43),"")</f>
        <v/>
      </c>
      <c r="X43">
        <f>IF(AN43="Complete","Complete",IF(W43&lt;0,"Overdue",IF(W43&lt;=U43*0.2,"At Risk","On Track")))</f>
        <v/>
      </c>
    </row>
    <row r="44">
      <c r="K44">
        <f>IF(J44="v4.0",L44,IF(J44="v3.1",M44,IF(J44="Both",L44,IF(AND(L44&lt;&gt;"",M44=""),L44,M44))))</f>
        <v/>
      </c>
      <c r="W44">
        <f>IF(V44&lt;&gt;"",NETWORKDAYS(TODAY(),V44),"")</f>
        <v/>
      </c>
      <c r="X44">
        <f>IF(AN44="Complete","Complete",IF(W44&lt;0,"Overdue",IF(W44&lt;=U44*0.2,"At Risk","On Track")))</f>
        <v/>
      </c>
    </row>
    <row r="45">
      <c r="K45">
        <f>IF(J45="v4.0",L45,IF(J45="v3.1",M45,IF(J45="Both",L45,IF(AND(L45&lt;&gt;"",M45=""),L45,M45))))</f>
        <v/>
      </c>
      <c r="W45">
        <f>IF(V45&lt;&gt;"",NETWORKDAYS(TODAY(),V45),"")</f>
        <v/>
      </c>
      <c r="X45">
        <f>IF(AN45="Complete","Complete",IF(W45&lt;0,"Overdue",IF(W45&lt;=U45*0.2,"At Risk","On Track")))</f>
        <v/>
      </c>
    </row>
    <row r="46">
      <c r="K46">
        <f>IF(J46="v4.0",L46,IF(J46="v3.1",M46,IF(J46="Both",L46,IF(AND(L46&lt;&gt;"",M46=""),L46,M46))))</f>
        <v/>
      </c>
      <c r="W46">
        <f>IF(V46&lt;&gt;"",NETWORKDAYS(TODAY(),V46),"")</f>
        <v/>
      </c>
      <c r="X46">
        <f>IF(AN46="Complete","Complete",IF(W46&lt;0,"Overdue",IF(W46&lt;=U46*0.2,"At Risk","On Track")))</f>
        <v/>
      </c>
    </row>
    <row r="47">
      <c r="K47">
        <f>IF(J47="v4.0",L47,IF(J47="v3.1",M47,IF(J47="Both",L47,IF(AND(L47&lt;&gt;"",M47=""),L47,M47))))</f>
        <v/>
      </c>
      <c r="W47">
        <f>IF(V47&lt;&gt;"",NETWORKDAYS(TODAY(),V47),"")</f>
        <v/>
      </c>
      <c r="X47">
        <f>IF(AN47="Complete","Complete",IF(W47&lt;0,"Overdue",IF(W47&lt;=U47*0.2,"At Risk","On Track")))</f>
        <v/>
      </c>
    </row>
    <row r="48">
      <c r="K48">
        <f>IF(J48="v4.0",L48,IF(J48="v3.1",M48,IF(J48="Both",L48,IF(AND(L48&lt;&gt;"",M48=""),L48,M48))))</f>
        <v/>
      </c>
      <c r="W48">
        <f>IF(V48&lt;&gt;"",NETWORKDAYS(TODAY(),V48),"")</f>
        <v/>
      </c>
      <c r="X48">
        <f>IF(AN48="Complete","Complete",IF(W48&lt;0,"Overdue",IF(W48&lt;=U48*0.2,"At Risk","On Track")))</f>
        <v/>
      </c>
    </row>
    <row r="49">
      <c r="K49">
        <f>IF(J49="v4.0",L49,IF(J49="v3.1",M49,IF(J49="Both",L49,IF(AND(L49&lt;&gt;"",M49=""),L49,M49))))</f>
        <v/>
      </c>
      <c r="W49">
        <f>IF(V49&lt;&gt;"",NETWORKDAYS(TODAY(),V49),"")</f>
        <v/>
      </c>
      <c r="X49">
        <f>IF(AN49="Complete","Complete",IF(W49&lt;0,"Overdue",IF(W49&lt;=U49*0.2,"At Risk","On Track")))</f>
        <v/>
      </c>
    </row>
    <row r="50">
      <c r="K50">
        <f>IF(J50="v4.0",L50,IF(J50="v3.1",M50,IF(J50="Both",L50,IF(AND(L50&lt;&gt;"",M50=""),L50,M50))))</f>
        <v/>
      </c>
      <c r="W50">
        <f>IF(V50&lt;&gt;"",NETWORKDAYS(TODAY(),V50),"")</f>
        <v/>
      </c>
      <c r="X50">
        <f>IF(AN50="Complete","Complete",IF(W50&lt;0,"Overdue",IF(W50&lt;=U50*0.2,"At Risk","On Track")))</f>
        <v/>
      </c>
    </row>
    <row r="51">
      <c r="K51">
        <f>IF(J51="v4.0",L51,IF(J51="v3.1",M51,IF(J51="Both",L51,IF(AND(L51&lt;&gt;"",M51=""),L51,M51))))</f>
        <v/>
      </c>
      <c r="W51">
        <f>IF(V51&lt;&gt;"",NETWORKDAYS(TODAY(),V51),"")</f>
        <v/>
      </c>
      <c r="X51">
        <f>IF(AN51="Complete","Complete",IF(W51&lt;0,"Overdue",IF(W51&lt;=U51*0.2,"At Risk","On Track")))</f>
        <v/>
      </c>
    </row>
    <row r="52">
      <c r="K52">
        <f>IF(J52="v4.0",L52,IF(J52="v3.1",M52,IF(J52="Both",L52,IF(AND(L52&lt;&gt;"",M52=""),L52,M52))))</f>
        <v/>
      </c>
      <c r="W52">
        <f>IF(V52&lt;&gt;"",NETWORKDAYS(TODAY(),V52),"")</f>
        <v/>
      </c>
      <c r="X52">
        <f>IF(AN52="Complete","Complete",IF(W52&lt;0,"Overdue",IF(W52&lt;=U52*0.2,"At Risk","On Track")))</f>
        <v/>
      </c>
    </row>
    <row r="53">
      <c r="K53">
        <f>IF(J53="v4.0",L53,IF(J53="v3.1",M53,IF(J53="Both",L53,IF(AND(L53&lt;&gt;"",M53=""),L53,M53))))</f>
        <v/>
      </c>
      <c r="W53">
        <f>IF(V53&lt;&gt;"",NETWORKDAYS(TODAY(),V53),"")</f>
        <v/>
      </c>
      <c r="X53">
        <f>IF(AN53="Complete","Complete",IF(W53&lt;0,"Overdue",IF(W53&lt;=U53*0.2,"At Risk","On Track")))</f>
        <v/>
      </c>
    </row>
    <row r="54">
      <c r="K54">
        <f>IF(J54="v4.0",L54,IF(J54="v3.1",M54,IF(J54="Both",L54,IF(AND(L54&lt;&gt;"",M54=""),L54,M54))))</f>
        <v/>
      </c>
      <c r="W54">
        <f>IF(V54&lt;&gt;"",NETWORKDAYS(TODAY(),V54),"")</f>
        <v/>
      </c>
      <c r="X54">
        <f>IF(AN54="Complete","Complete",IF(W54&lt;0,"Overdue",IF(W54&lt;=U54*0.2,"At Risk","On Track")))</f>
        <v/>
      </c>
    </row>
    <row r="55">
      <c r="K55">
        <f>IF(J55="v4.0",L55,IF(J55="v3.1",M55,IF(J55="Both",L55,IF(AND(L55&lt;&gt;"",M55=""),L55,M55))))</f>
        <v/>
      </c>
      <c r="W55">
        <f>IF(V55&lt;&gt;"",NETWORKDAYS(TODAY(),V55),"")</f>
        <v/>
      </c>
      <c r="X55">
        <f>IF(AN55="Complete","Complete",IF(W55&lt;0,"Overdue",IF(W55&lt;=U55*0.2,"At Risk","On Track")))</f>
        <v/>
      </c>
    </row>
    <row r="56">
      <c r="K56">
        <f>IF(J56="v4.0",L56,IF(J56="v3.1",M56,IF(J56="Both",L56,IF(AND(L56&lt;&gt;"",M56=""),L56,M56))))</f>
        <v/>
      </c>
      <c r="W56">
        <f>IF(V56&lt;&gt;"",NETWORKDAYS(TODAY(),V56),"")</f>
        <v/>
      </c>
      <c r="X56">
        <f>IF(AN56="Complete","Complete",IF(W56&lt;0,"Overdue",IF(W56&lt;=U56*0.2,"At Risk","On Track")))</f>
        <v/>
      </c>
    </row>
    <row r="57">
      <c r="K57">
        <f>IF(J57="v4.0",L57,IF(J57="v3.1",M57,IF(J57="Both",L57,IF(AND(L57&lt;&gt;"",M57=""),L57,M57))))</f>
        <v/>
      </c>
      <c r="W57">
        <f>IF(V57&lt;&gt;"",NETWORKDAYS(TODAY(),V57),"")</f>
        <v/>
      </c>
      <c r="X57">
        <f>IF(AN57="Complete","Complete",IF(W57&lt;0,"Overdue",IF(W57&lt;=U57*0.2,"At Risk","On Track")))</f>
        <v/>
      </c>
    </row>
    <row r="58">
      <c r="K58">
        <f>IF(J58="v4.0",L58,IF(J58="v3.1",M58,IF(J58="Both",L58,IF(AND(L58&lt;&gt;"",M58=""),L58,M58))))</f>
        <v/>
      </c>
      <c r="W58">
        <f>IF(V58&lt;&gt;"",NETWORKDAYS(TODAY(),V58),"")</f>
        <v/>
      </c>
      <c r="X58">
        <f>IF(AN58="Complete","Complete",IF(W58&lt;0,"Overdue",IF(W58&lt;=U58*0.2,"At Risk","On Track")))</f>
        <v/>
      </c>
    </row>
    <row r="59">
      <c r="K59">
        <f>IF(J59="v4.0",L59,IF(J59="v3.1",M59,IF(J59="Both",L59,IF(AND(L59&lt;&gt;"",M59=""),L59,M59))))</f>
        <v/>
      </c>
      <c r="W59">
        <f>IF(V59&lt;&gt;"",NETWORKDAYS(TODAY(),V59),"")</f>
        <v/>
      </c>
      <c r="X59">
        <f>IF(AN59="Complete","Complete",IF(W59&lt;0,"Overdue",IF(W59&lt;=U59*0.2,"At Risk","On Track")))</f>
        <v/>
      </c>
    </row>
    <row r="60">
      <c r="K60">
        <f>IF(J60="v4.0",L60,IF(J60="v3.1",M60,IF(J60="Both",L60,IF(AND(L60&lt;&gt;"",M60=""),L60,M60))))</f>
        <v/>
      </c>
      <c r="W60">
        <f>IF(V60&lt;&gt;"",NETWORKDAYS(TODAY(),V60),"")</f>
        <v/>
      </c>
      <c r="X60">
        <f>IF(AN60="Complete","Complete",IF(W60&lt;0,"Overdue",IF(W60&lt;=U60*0.2,"At Risk","On Track")))</f>
        <v/>
      </c>
    </row>
    <row r="61">
      <c r="K61">
        <f>IF(J61="v4.0",L61,IF(J61="v3.1",M61,IF(J61="Both",L61,IF(AND(L61&lt;&gt;"",M61=""),L61,M61))))</f>
        <v/>
      </c>
      <c r="W61">
        <f>IF(V61&lt;&gt;"",NETWORKDAYS(TODAY(),V61),"")</f>
        <v/>
      </c>
      <c r="X61">
        <f>IF(AN61="Complete","Complete",IF(W61&lt;0,"Overdue",IF(W61&lt;=U61*0.2,"At Risk","On Track")))</f>
        <v/>
      </c>
    </row>
    <row r="62">
      <c r="K62">
        <f>IF(J62="v4.0",L62,IF(J62="v3.1",M62,IF(J62="Both",L62,IF(AND(L62&lt;&gt;"",M62=""),L62,M62))))</f>
        <v/>
      </c>
      <c r="W62">
        <f>IF(V62&lt;&gt;"",NETWORKDAYS(TODAY(),V62),"")</f>
        <v/>
      </c>
      <c r="X62">
        <f>IF(AN62="Complete","Complete",IF(W62&lt;0,"Overdue",IF(W62&lt;=U62*0.2,"At Risk","On Track")))</f>
        <v/>
      </c>
    </row>
    <row r="63">
      <c r="K63">
        <f>IF(J63="v4.0",L63,IF(J63="v3.1",M63,IF(J63="Both",L63,IF(AND(L63&lt;&gt;"",M63=""),L63,M63))))</f>
        <v/>
      </c>
      <c r="W63">
        <f>IF(V63&lt;&gt;"",NETWORKDAYS(TODAY(),V63),"")</f>
        <v/>
      </c>
      <c r="X63">
        <f>IF(AN63="Complete","Complete",IF(W63&lt;0,"Overdue",IF(W63&lt;=U63*0.2,"At Risk","On Track")))</f>
        <v/>
      </c>
    </row>
    <row r="64">
      <c r="K64">
        <f>IF(J64="v4.0",L64,IF(J64="v3.1",M64,IF(J64="Both",L64,IF(AND(L64&lt;&gt;"",M64=""),L64,M64))))</f>
        <v/>
      </c>
      <c r="W64">
        <f>IF(V64&lt;&gt;"",NETWORKDAYS(TODAY(),V64),"")</f>
        <v/>
      </c>
      <c r="X64">
        <f>IF(AN64="Complete","Complete",IF(W64&lt;0,"Overdue",IF(W64&lt;=U64*0.2,"At Risk","On Track")))</f>
        <v/>
      </c>
    </row>
    <row r="65">
      <c r="K65">
        <f>IF(J65="v4.0",L65,IF(J65="v3.1",M65,IF(J65="Both",L65,IF(AND(L65&lt;&gt;"",M65=""),L65,M65))))</f>
        <v/>
      </c>
      <c r="W65">
        <f>IF(V65&lt;&gt;"",NETWORKDAYS(TODAY(),V65),"")</f>
        <v/>
      </c>
      <c r="X65">
        <f>IF(AN65="Complete","Complete",IF(W65&lt;0,"Overdue",IF(W65&lt;=U65*0.2,"At Risk","On Track")))</f>
        <v/>
      </c>
    </row>
    <row r="66">
      <c r="K66">
        <f>IF(J66="v4.0",L66,IF(J66="v3.1",M66,IF(J66="Both",L66,IF(AND(L66&lt;&gt;"",M66=""),L66,M66))))</f>
        <v/>
      </c>
      <c r="W66">
        <f>IF(V66&lt;&gt;"",NETWORKDAYS(TODAY(),V66),"")</f>
        <v/>
      </c>
      <c r="X66">
        <f>IF(AN66="Complete","Complete",IF(W66&lt;0,"Overdue",IF(W66&lt;=U66*0.2,"At Risk","On Track")))</f>
        <v/>
      </c>
    </row>
    <row r="67">
      <c r="K67">
        <f>IF(J67="v4.0",L67,IF(J67="v3.1",M67,IF(J67="Both",L67,IF(AND(L67&lt;&gt;"",M67=""),L67,M67))))</f>
        <v/>
      </c>
      <c r="W67">
        <f>IF(V67&lt;&gt;"",NETWORKDAYS(TODAY(),V67),"")</f>
        <v/>
      </c>
      <c r="X67">
        <f>IF(AN67="Complete","Complete",IF(W67&lt;0,"Overdue",IF(W67&lt;=U67*0.2,"At Risk","On Track")))</f>
        <v/>
      </c>
    </row>
    <row r="68">
      <c r="K68">
        <f>IF(J68="v4.0",L68,IF(J68="v3.1",M68,IF(J68="Both",L68,IF(AND(L68&lt;&gt;"",M68=""),L68,M68))))</f>
        <v/>
      </c>
      <c r="W68">
        <f>IF(V68&lt;&gt;"",NETWORKDAYS(TODAY(),V68),"")</f>
        <v/>
      </c>
      <c r="X68">
        <f>IF(AN68="Complete","Complete",IF(W68&lt;0,"Overdue",IF(W68&lt;=U68*0.2,"At Risk","On Track")))</f>
        <v/>
      </c>
    </row>
    <row r="69">
      <c r="K69">
        <f>IF(J69="v4.0",L69,IF(J69="v3.1",M69,IF(J69="Both",L69,IF(AND(L69&lt;&gt;"",M69=""),L69,M69))))</f>
        <v/>
      </c>
      <c r="W69">
        <f>IF(V69&lt;&gt;"",NETWORKDAYS(TODAY(),V69),"")</f>
        <v/>
      </c>
      <c r="X69">
        <f>IF(AN69="Complete","Complete",IF(W69&lt;0,"Overdue",IF(W69&lt;=U69*0.2,"At Risk","On Track")))</f>
        <v/>
      </c>
    </row>
    <row r="70">
      <c r="K70">
        <f>IF(J70="v4.0",L70,IF(J70="v3.1",M70,IF(J70="Both",L70,IF(AND(L70&lt;&gt;"",M70=""),L70,M70))))</f>
        <v/>
      </c>
      <c r="W70">
        <f>IF(V70&lt;&gt;"",NETWORKDAYS(TODAY(),V70),"")</f>
        <v/>
      </c>
      <c r="X70">
        <f>IF(AN70="Complete","Complete",IF(W70&lt;0,"Overdue",IF(W70&lt;=U70*0.2,"At Risk","On Track")))</f>
        <v/>
      </c>
    </row>
    <row r="71">
      <c r="K71">
        <f>IF(J71="v4.0",L71,IF(J71="v3.1",M71,IF(J71="Both",L71,IF(AND(L71&lt;&gt;"",M71=""),L71,M71))))</f>
        <v/>
      </c>
      <c r="W71">
        <f>IF(V71&lt;&gt;"",NETWORKDAYS(TODAY(),V71),"")</f>
        <v/>
      </c>
      <c r="X71">
        <f>IF(AN71="Complete","Complete",IF(W71&lt;0,"Overdue",IF(W71&lt;=U71*0.2,"At Risk","On Track")))</f>
        <v/>
      </c>
    </row>
    <row r="72">
      <c r="K72">
        <f>IF(J72="v4.0",L72,IF(J72="v3.1",M72,IF(J72="Both",L72,IF(AND(L72&lt;&gt;"",M72=""),L72,M72))))</f>
        <v/>
      </c>
      <c r="W72">
        <f>IF(V72&lt;&gt;"",NETWORKDAYS(TODAY(),V72),"")</f>
        <v/>
      </c>
      <c r="X72">
        <f>IF(AN72="Complete","Complete",IF(W72&lt;0,"Overdue",IF(W72&lt;=U72*0.2,"At Risk","On Track")))</f>
        <v/>
      </c>
    </row>
    <row r="73">
      <c r="K73">
        <f>IF(J73="v4.0",L73,IF(J73="v3.1",M73,IF(J73="Both",L73,IF(AND(L73&lt;&gt;"",M73=""),L73,M73))))</f>
        <v/>
      </c>
      <c r="W73">
        <f>IF(V73&lt;&gt;"",NETWORKDAYS(TODAY(),V73),"")</f>
        <v/>
      </c>
      <c r="X73">
        <f>IF(AN73="Complete","Complete",IF(W73&lt;0,"Overdue",IF(W73&lt;=U73*0.2,"At Risk","On Track")))</f>
        <v/>
      </c>
    </row>
    <row r="74">
      <c r="K74">
        <f>IF(J74="v4.0",L74,IF(J74="v3.1",M74,IF(J74="Both",L74,IF(AND(L74&lt;&gt;"",M74=""),L74,M74))))</f>
        <v/>
      </c>
      <c r="W74">
        <f>IF(V74&lt;&gt;"",NETWORKDAYS(TODAY(),V74),"")</f>
        <v/>
      </c>
      <c r="X74">
        <f>IF(AN74="Complete","Complete",IF(W74&lt;0,"Overdue",IF(W74&lt;=U74*0.2,"At Risk","On Track")))</f>
        <v/>
      </c>
    </row>
    <row r="75">
      <c r="K75">
        <f>IF(J75="v4.0",L75,IF(J75="v3.1",M75,IF(J75="Both",L75,IF(AND(L75&lt;&gt;"",M75=""),L75,M75))))</f>
        <v/>
      </c>
      <c r="W75">
        <f>IF(V75&lt;&gt;"",NETWORKDAYS(TODAY(),V75),"")</f>
        <v/>
      </c>
      <c r="X75">
        <f>IF(AN75="Complete","Complete",IF(W75&lt;0,"Overdue",IF(W75&lt;=U75*0.2,"At Risk","On Track")))</f>
        <v/>
      </c>
    </row>
    <row r="76">
      <c r="K76">
        <f>IF(J76="v4.0",L76,IF(J76="v3.1",M76,IF(J76="Both",L76,IF(AND(L76&lt;&gt;"",M76=""),L76,M76))))</f>
        <v/>
      </c>
      <c r="W76">
        <f>IF(V76&lt;&gt;"",NETWORKDAYS(TODAY(),V76),"")</f>
        <v/>
      </c>
      <c r="X76">
        <f>IF(AN76="Complete","Complete",IF(W76&lt;0,"Overdue",IF(W76&lt;=U76*0.2,"At Risk","On Track")))</f>
        <v/>
      </c>
    </row>
    <row r="77">
      <c r="K77">
        <f>IF(J77="v4.0",L77,IF(J77="v3.1",M77,IF(J77="Both",L77,IF(AND(L77&lt;&gt;"",M77=""),L77,M77))))</f>
        <v/>
      </c>
      <c r="W77">
        <f>IF(V77&lt;&gt;"",NETWORKDAYS(TODAY(),V77),"")</f>
        <v/>
      </c>
      <c r="X77">
        <f>IF(AN77="Complete","Complete",IF(W77&lt;0,"Overdue",IF(W77&lt;=U77*0.2,"At Risk","On Track")))</f>
        <v/>
      </c>
    </row>
    <row r="78">
      <c r="K78">
        <f>IF(J78="v4.0",L78,IF(J78="v3.1",M78,IF(J78="Both",L78,IF(AND(L78&lt;&gt;"",M78=""),L78,M78))))</f>
        <v/>
      </c>
      <c r="W78">
        <f>IF(V78&lt;&gt;"",NETWORKDAYS(TODAY(),V78),"")</f>
        <v/>
      </c>
      <c r="X78">
        <f>IF(AN78="Complete","Complete",IF(W78&lt;0,"Overdue",IF(W78&lt;=U78*0.2,"At Risk","On Track")))</f>
        <v/>
      </c>
    </row>
    <row r="79">
      <c r="K79">
        <f>IF(J79="v4.0",L79,IF(J79="v3.1",M79,IF(J79="Both",L79,IF(AND(L79&lt;&gt;"",M79=""),L79,M79))))</f>
        <v/>
      </c>
      <c r="W79">
        <f>IF(V79&lt;&gt;"",NETWORKDAYS(TODAY(),V79),"")</f>
        <v/>
      </c>
      <c r="X79">
        <f>IF(AN79="Complete","Complete",IF(W79&lt;0,"Overdue",IF(W79&lt;=U79*0.2,"At Risk","On Track")))</f>
        <v/>
      </c>
    </row>
    <row r="80">
      <c r="K80">
        <f>IF(J80="v4.0",L80,IF(J80="v3.1",M80,IF(J80="Both",L80,IF(AND(L80&lt;&gt;"",M80=""),L80,M80))))</f>
        <v/>
      </c>
      <c r="W80">
        <f>IF(V80&lt;&gt;"",NETWORKDAYS(TODAY(),V80),"")</f>
        <v/>
      </c>
      <c r="X80">
        <f>IF(AN80="Complete","Complete",IF(W80&lt;0,"Overdue",IF(W80&lt;=U80*0.2,"At Risk","On Track")))</f>
        <v/>
      </c>
    </row>
    <row r="81">
      <c r="K81">
        <f>IF(J81="v4.0",L81,IF(J81="v3.1",M81,IF(J81="Both",L81,IF(AND(L81&lt;&gt;"",M81=""),L81,M81))))</f>
        <v/>
      </c>
      <c r="W81">
        <f>IF(V81&lt;&gt;"",NETWORKDAYS(TODAY(),V81),"")</f>
        <v/>
      </c>
      <c r="X81">
        <f>IF(AN81="Complete","Complete",IF(W81&lt;0,"Overdue",IF(W81&lt;=U81*0.2,"At Risk","On Track")))</f>
        <v/>
      </c>
    </row>
    <row r="82">
      <c r="K82">
        <f>IF(J82="v4.0",L82,IF(J82="v3.1",M82,IF(J82="Both",L82,IF(AND(L82&lt;&gt;"",M82=""),L82,M82))))</f>
        <v/>
      </c>
      <c r="W82">
        <f>IF(V82&lt;&gt;"",NETWORKDAYS(TODAY(),V82),"")</f>
        <v/>
      </c>
      <c r="X82">
        <f>IF(AN82="Complete","Complete",IF(W82&lt;0,"Overdue",IF(W82&lt;=U82*0.2,"At Risk","On Track")))</f>
        <v/>
      </c>
    </row>
    <row r="83">
      <c r="K83">
        <f>IF(J83="v4.0",L83,IF(J83="v3.1",M83,IF(J83="Both",L83,IF(AND(L83&lt;&gt;"",M83=""),L83,M83))))</f>
        <v/>
      </c>
      <c r="W83">
        <f>IF(V83&lt;&gt;"",NETWORKDAYS(TODAY(),V83),"")</f>
        <v/>
      </c>
      <c r="X83">
        <f>IF(AN83="Complete","Complete",IF(W83&lt;0,"Overdue",IF(W83&lt;=U83*0.2,"At Risk","On Track")))</f>
        <v/>
      </c>
    </row>
    <row r="84">
      <c r="K84">
        <f>IF(J84="v4.0",L84,IF(J84="v3.1",M84,IF(J84="Both",L84,IF(AND(L84&lt;&gt;"",M84=""),L84,M84))))</f>
        <v/>
      </c>
      <c r="W84">
        <f>IF(V84&lt;&gt;"",NETWORKDAYS(TODAY(),V84),"")</f>
        <v/>
      </c>
      <c r="X84">
        <f>IF(AN84="Complete","Complete",IF(W84&lt;0,"Overdue",IF(W84&lt;=U84*0.2,"At Risk","On Track")))</f>
        <v/>
      </c>
    </row>
    <row r="85">
      <c r="K85">
        <f>IF(J85="v4.0",L85,IF(J85="v3.1",M85,IF(J85="Both",L85,IF(AND(L85&lt;&gt;"",M85=""),L85,M85))))</f>
        <v/>
      </c>
      <c r="W85">
        <f>IF(V85&lt;&gt;"",NETWORKDAYS(TODAY(),V85),"")</f>
        <v/>
      </c>
      <c r="X85">
        <f>IF(AN85="Complete","Complete",IF(W85&lt;0,"Overdue",IF(W85&lt;=U85*0.2,"At Risk","On Track")))</f>
        <v/>
      </c>
    </row>
    <row r="86">
      <c r="K86">
        <f>IF(J86="v4.0",L86,IF(J86="v3.1",M86,IF(J86="Both",L86,IF(AND(L86&lt;&gt;"",M86=""),L86,M86))))</f>
        <v/>
      </c>
      <c r="W86">
        <f>IF(V86&lt;&gt;"",NETWORKDAYS(TODAY(),V86),"")</f>
        <v/>
      </c>
      <c r="X86">
        <f>IF(AN86="Complete","Complete",IF(W86&lt;0,"Overdue",IF(W86&lt;=U86*0.2,"At Risk","On Track")))</f>
        <v/>
      </c>
    </row>
    <row r="87">
      <c r="K87">
        <f>IF(J87="v4.0",L87,IF(J87="v3.1",M87,IF(J87="Both",L87,IF(AND(L87&lt;&gt;"",M87=""),L87,M87))))</f>
        <v/>
      </c>
      <c r="W87">
        <f>IF(V87&lt;&gt;"",NETWORKDAYS(TODAY(),V87),"")</f>
        <v/>
      </c>
      <c r="X87">
        <f>IF(AN87="Complete","Complete",IF(W87&lt;0,"Overdue",IF(W87&lt;=U87*0.2,"At Risk","On Track")))</f>
        <v/>
      </c>
    </row>
    <row r="88">
      <c r="K88">
        <f>IF(J88="v4.0",L88,IF(J88="v3.1",M88,IF(J88="Both",L88,IF(AND(L88&lt;&gt;"",M88=""),L88,M88))))</f>
        <v/>
      </c>
      <c r="W88">
        <f>IF(V88&lt;&gt;"",NETWORKDAYS(TODAY(),V88),"")</f>
        <v/>
      </c>
      <c r="X88">
        <f>IF(AN88="Complete","Complete",IF(W88&lt;0,"Overdue",IF(W88&lt;=U88*0.2,"At Risk","On Track")))</f>
        <v/>
      </c>
    </row>
    <row r="89">
      <c r="K89">
        <f>IF(J89="v4.0",L89,IF(J89="v3.1",M89,IF(J89="Both",L89,IF(AND(L89&lt;&gt;"",M89=""),L89,M89))))</f>
        <v/>
      </c>
      <c r="W89">
        <f>IF(V89&lt;&gt;"",NETWORKDAYS(TODAY(),V89),"")</f>
        <v/>
      </c>
      <c r="X89">
        <f>IF(AN89="Complete","Complete",IF(W89&lt;0,"Overdue",IF(W89&lt;=U89*0.2,"At Risk","On Track")))</f>
        <v/>
      </c>
    </row>
    <row r="90">
      <c r="K90">
        <f>IF(J90="v4.0",L90,IF(J90="v3.1",M90,IF(J90="Both",L90,IF(AND(L90&lt;&gt;"",M90=""),L90,M90))))</f>
        <v/>
      </c>
      <c r="W90">
        <f>IF(V90&lt;&gt;"",NETWORKDAYS(TODAY(),V90),"")</f>
        <v/>
      </c>
      <c r="X90">
        <f>IF(AN90="Complete","Complete",IF(W90&lt;0,"Overdue",IF(W90&lt;=U90*0.2,"At Risk","On Track")))</f>
        <v/>
      </c>
    </row>
    <row r="91">
      <c r="K91">
        <f>IF(J91="v4.0",L91,IF(J91="v3.1",M91,IF(J91="Both",L91,IF(AND(L91&lt;&gt;"",M91=""),L91,M91))))</f>
        <v/>
      </c>
      <c r="W91">
        <f>IF(V91&lt;&gt;"",NETWORKDAYS(TODAY(),V91),"")</f>
        <v/>
      </c>
      <c r="X91">
        <f>IF(AN91="Complete","Complete",IF(W91&lt;0,"Overdue",IF(W91&lt;=U91*0.2,"At Risk","On Track")))</f>
        <v/>
      </c>
    </row>
    <row r="92">
      <c r="K92">
        <f>IF(J92="v4.0",L92,IF(J92="v3.1",M92,IF(J92="Both",L92,IF(AND(L92&lt;&gt;"",M92=""),L92,M92))))</f>
        <v/>
      </c>
      <c r="W92">
        <f>IF(V92&lt;&gt;"",NETWORKDAYS(TODAY(),V92),"")</f>
        <v/>
      </c>
      <c r="X92">
        <f>IF(AN92="Complete","Complete",IF(W92&lt;0,"Overdue",IF(W92&lt;=U92*0.2,"At Risk","On Track")))</f>
        <v/>
      </c>
    </row>
    <row r="93">
      <c r="K93">
        <f>IF(J93="v4.0",L93,IF(J93="v3.1",M93,IF(J93="Both",L93,IF(AND(L93&lt;&gt;"",M93=""),L93,M93))))</f>
        <v/>
      </c>
      <c r="W93">
        <f>IF(V93&lt;&gt;"",NETWORKDAYS(TODAY(),V93),"")</f>
        <v/>
      </c>
      <c r="X93">
        <f>IF(AN93="Complete","Complete",IF(W93&lt;0,"Overdue",IF(W93&lt;=U93*0.2,"At Risk","On Track")))</f>
        <v/>
      </c>
    </row>
    <row r="94">
      <c r="K94">
        <f>IF(J94="v4.0",L94,IF(J94="v3.1",M94,IF(J94="Both",L94,IF(AND(L94&lt;&gt;"",M94=""),L94,M94))))</f>
        <v/>
      </c>
      <c r="W94">
        <f>IF(V94&lt;&gt;"",NETWORKDAYS(TODAY(),V94),"")</f>
        <v/>
      </c>
      <c r="X94">
        <f>IF(AN94="Complete","Complete",IF(W94&lt;0,"Overdue",IF(W94&lt;=U94*0.2,"At Risk","On Track")))</f>
        <v/>
      </c>
    </row>
    <row r="95">
      <c r="K95">
        <f>IF(J95="v4.0",L95,IF(J95="v3.1",M95,IF(J95="Both",L95,IF(AND(L95&lt;&gt;"",M95=""),L95,M95))))</f>
        <v/>
      </c>
      <c r="W95">
        <f>IF(V95&lt;&gt;"",NETWORKDAYS(TODAY(),V95),"")</f>
        <v/>
      </c>
      <c r="X95">
        <f>IF(AN95="Complete","Complete",IF(W95&lt;0,"Overdue",IF(W95&lt;=U95*0.2,"At Risk","On Track")))</f>
        <v/>
      </c>
    </row>
    <row r="96">
      <c r="K96">
        <f>IF(J96="v4.0",L96,IF(J96="v3.1",M96,IF(J96="Both",L96,IF(AND(L96&lt;&gt;"",M96=""),L96,M96))))</f>
        <v/>
      </c>
      <c r="W96">
        <f>IF(V96&lt;&gt;"",NETWORKDAYS(TODAY(),V96),"")</f>
        <v/>
      </c>
      <c r="X96">
        <f>IF(AN96="Complete","Complete",IF(W96&lt;0,"Overdue",IF(W96&lt;=U96*0.2,"At Risk","On Track")))</f>
        <v/>
      </c>
    </row>
    <row r="97">
      <c r="K97">
        <f>IF(J97="v4.0",L97,IF(J97="v3.1",M97,IF(J97="Both",L97,IF(AND(L97&lt;&gt;"",M97=""),L97,M97))))</f>
        <v/>
      </c>
      <c r="W97">
        <f>IF(V97&lt;&gt;"",NETWORKDAYS(TODAY(),V97),"")</f>
        <v/>
      </c>
      <c r="X97">
        <f>IF(AN97="Complete","Complete",IF(W97&lt;0,"Overdue",IF(W97&lt;=U97*0.2,"At Risk","On Track")))</f>
        <v/>
      </c>
    </row>
    <row r="98">
      <c r="K98">
        <f>IF(J98="v4.0",L98,IF(J98="v3.1",M98,IF(J98="Both",L98,IF(AND(L98&lt;&gt;"",M98=""),L98,M98))))</f>
        <v/>
      </c>
      <c r="W98">
        <f>IF(V98&lt;&gt;"",NETWORKDAYS(TODAY(),V98),"")</f>
        <v/>
      </c>
      <c r="X98">
        <f>IF(AN98="Complete","Complete",IF(W98&lt;0,"Overdue",IF(W98&lt;=U98*0.2,"At Risk","On Track")))</f>
        <v/>
      </c>
    </row>
    <row r="99">
      <c r="K99">
        <f>IF(J99="v4.0",L99,IF(J99="v3.1",M99,IF(J99="Both",L99,IF(AND(L99&lt;&gt;"",M99=""),L99,M99))))</f>
        <v/>
      </c>
      <c r="W99">
        <f>IF(V99&lt;&gt;"",NETWORKDAYS(TODAY(),V99),"")</f>
        <v/>
      </c>
      <c r="X99">
        <f>IF(AN99="Complete","Complete",IF(W99&lt;0,"Overdue",IF(W99&lt;=U99*0.2,"At Risk","On Track")))</f>
        <v/>
      </c>
    </row>
    <row r="100">
      <c r="K100">
        <f>IF(J100="v4.0",L100,IF(J100="v3.1",M100,IF(J100="Both",L100,IF(AND(L100&lt;&gt;"",M100=""),L100,M100))))</f>
        <v/>
      </c>
      <c r="W100">
        <f>IF(V100&lt;&gt;"",NETWORKDAYS(TODAY(),V100),"")</f>
        <v/>
      </c>
      <c r="X100">
        <f>IF(AN100="Complete","Complete",IF(W100&lt;0,"Overdue",IF(W100&lt;=U100*0.2,"At Risk","On Track")))</f>
        <v/>
      </c>
    </row>
    <row r="101">
      <c r="K101">
        <f>IF(J101="v4.0",L101,IF(J101="v3.1",M101,IF(J101="Both",L101,IF(AND(L101&lt;&gt;"",M101=""),L101,M101))))</f>
        <v/>
      </c>
      <c r="W101">
        <f>IF(V101&lt;&gt;"",NETWORKDAYS(TODAY(),V101),"")</f>
        <v/>
      </c>
      <c r="X101">
        <f>IF(AN101="Complete","Complete",IF(W101&lt;0,"Overdue",IF(W101&lt;=U101*0.2,"At Risk","On Track")))</f>
        <v/>
      </c>
    </row>
    <row r="102">
      <c r="K102">
        <f>IF(J102="v4.0",L102,IF(J102="v3.1",M102,IF(J102="Both",L102,IF(AND(L102&lt;&gt;"",M102=""),L102,M102))))</f>
        <v/>
      </c>
      <c r="W102">
        <f>IF(V102&lt;&gt;"",NETWORKDAYS(TODAY(),V102),"")</f>
        <v/>
      </c>
      <c r="X102">
        <f>IF(AN102="Complete","Complete",IF(W102&lt;0,"Overdue",IF(W102&lt;=U102*0.2,"At Risk","On Track")))</f>
        <v/>
      </c>
    </row>
    <row r="103">
      <c r="K103">
        <f>IF(J103="v4.0",L103,IF(J103="v3.1",M103,IF(J103="Both",L103,IF(AND(L103&lt;&gt;"",M103=""),L103,M103))))</f>
        <v/>
      </c>
      <c r="W103">
        <f>IF(V103&lt;&gt;"",NETWORKDAYS(TODAY(),V103),"")</f>
        <v/>
      </c>
      <c r="X103">
        <f>IF(AN103="Complete","Complete",IF(W103&lt;0,"Overdue",IF(W103&lt;=U103*0.2,"At Risk","On Track")))</f>
        <v/>
      </c>
    </row>
    <row r="104">
      <c r="K104">
        <f>IF(J104="v4.0",L104,IF(J104="v3.1",M104,IF(J104="Both",L104,IF(AND(L104&lt;&gt;"",M104=""),L104,M104))))</f>
        <v/>
      </c>
      <c r="W104">
        <f>IF(V104&lt;&gt;"",NETWORKDAYS(TODAY(),V104),"")</f>
        <v/>
      </c>
      <c r="X104">
        <f>IF(AN104="Complete","Complete",IF(W104&lt;0,"Overdue",IF(W104&lt;=U104*0.2,"At Risk","On Track")))</f>
        <v/>
      </c>
    </row>
    <row r="105">
      <c r="K105">
        <f>IF(J105="v4.0",L105,IF(J105="v3.1",M105,IF(J105="Both",L105,IF(AND(L105&lt;&gt;"",M105=""),L105,M105))))</f>
        <v/>
      </c>
      <c r="W105">
        <f>IF(V105&lt;&gt;"",NETWORKDAYS(TODAY(),V105),"")</f>
        <v/>
      </c>
      <c r="X105">
        <f>IF(AN105="Complete","Complete",IF(W105&lt;0,"Overdue",IF(W105&lt;=U105*0.2,"At Risk","On Track")))</f>
        <v/>
      </c>
    </row>
    <row r="106">
      <c r="K106">
        <f>IF(J106="v4.0",L106,IF(J106="v3.1",M106,IF(J106="Both",L106,IF(AND(L106&lt;&gt;"",M106=""),L106,M106))))</f>
        <v/>
      </c>
      <c r="W106">
        <f>IF(V106&lt;&gt;"",NETWORKDAYS(TODAY(),V106),"")</f>
        <v/>
      </c>
      <c r="X106">
        <f>IF(AN106="Complete","Complete",IF(W106&lt;0,"Overdue",IF(W106&lt;=U106*0.2,"At Risk","On Track")))</f>
        <v/>
      </c>
    </row>
    <row r="107">
      <c r="K107">
        <f>IF(J107="v4.0",L107,IF(J107="v3.1",M107,IF(J107="Both",L107,IF(AND(L107&lt;&gt;"",M107=""),L107,M107))))</f>
        <v/>
      </c>
      <c r="W107">
        <f>IF(V107&lt;&gt;"",NETWORKDAYS(TODAY(),V107),"")</f>
        <v/>
      </c>
      <c r="X107">
        <f>IF(AN107="Complete","Complete",IF(W107&lt;0,"Overdue",IF(W107&lt;=U107*0.2,"At Risk","On Track")))</f>
        <v/>
      </c>
    </row>
    <row r="108">
      <c r="K108">
        <f>IF(J108="v4.0",L108,IF(J108="v3.1",M108,IF(J108="Both",L108,IF(AND(L108&lt;&gt;"",M108=""),L108,M108))))</f>
        <v/>
      </c>
      <c r="W108">
        <f>IF(V108&lt;&gt;"",NETWORKDAYS(TODAY(),V108),"")</f>
        <v/>
      </c>
      <c r="X108">
        <f>IF(AN108="Complete","Complete",IF(W108&lt;0,"Overdue",IF(W108&lt;=U108*0.2,"At Risk","On Track")))</f>
        <v/>
      </c>
    </row>
    <row r="109">
      <c r="K109">
        <f>IF(J109="v4.0",L109,IF(J109="v3.1",M109,IF(J109="Both",L109,IF(AND(L109&lt;&gt;"",M109=""),L109,M109))))</f>
        <v/>
      </c>
      <c r="W109">
        <f>IF(V109&lt;&gt;"",NETWORKDAYS(TODAY(),V109),"")</f>
        <v/>
      </c>
      <c r="X109">
        <f>IF(AN109="Complete","Complete",IF(W109&lt;0,"Overdue",IF(W109&lt;=U109*0.2,"At Risk","On Track")))</f>
        <v/>
      </c>
    </row>
    <row r="110">
      <c r="K110">
        <f>IF(J110="v4.0",L110,IF(J110="v3.1",M110,IF(J110="Both",L110,IF(AND(L110&lt;&gt;"",M110=""),L110,M110))))</f>
        <v/>
      </c>
      <c r="W110">
        <f>IF(V110&lt;&gt;"",NETWORKDAYS(TODAY(),V110),"")</f>
        <v/>
      </c>
      <c r="X110">
        <f>IF(AN110="Complete","Complete",IF(W110&lt;0,"Overdue",IF(W110&lt;=U110*0.2,"At Risk","On Track")))</f>
        <v/>
      </c>
    </row>
    <row r="111">
      <c r="K111">
        <f>IF(J111="v4.0",L111,IF(J111="v3.1",M111,IF(J111="Both",L111,IF(AND(L111&lt;&gt;"",M111=""),L111,M111))))</f>
        <v/>
      </c>
      <c r="W111">
        <f>IF(V111&lt;&gt;"",NETWORKDAYS(TODAY(),V111),"")</f>
        <v/>
      </c>
      <c r="X111">
        <f>IF(AN111="Complete","Complete",IF(W111&lt;0,"Overdue",IF(W111&lt;=U111*0.2,"At Risk","On Track")))</f>
        <v/>
      </c>
    </row>
    <row r="112">
      <c r="K112">
        <f>IF(J112="v4.0",L112,IF(J112="v3.1",M112,IF(J112="Both",L112,IF(AND(L112&lt;&gt;"",M112=""),L112,M112))))</f>
        <v/>
      </c>
      <c r="W112">
        <f>IF(V112&lt;&gt;"",NETWORKDAYS(TODAY(),V112),"")</f>
        <v/>
      </c>
      <c r="X112">
        <f>IF(AN112="Complete","Complete",IF(W112&lt;0,"Overdue",IF(W112&lt;=U112*0.2,"At Risk","On Track")))</f>
        <v/>
      </c>
    </row>
    <row r="113">
      <c r="K113">
        <f>IF(J113="v4.0",L113,IF(J113="v3.1",M113,IF(J113="Both",L113,IF(AND(L113&lt;&gt;"",M113=""),L113,M113))))</f>
        <v/>
      </c>
      <c r="W113">
        <f>IF(V113&lt;&gt;"",NETWORKDAYS(TODAY(),V113),"")</f>
        <v/>
      </c>
      <c r="X113">
        <f>IF(AN113="Complete","Complete",IF(W113&lt;0,"Overdue",IF(W113&lt;=U113*0.2,"At Risk","On Track")))</f>
        <v/>
      </c>
    </row>
    <row r="114">
      <c r="K114">
        <f>IF(J114="v4.0",L114,IF(J114="v3.1",M114,IF(J114="Both",L114,IF(AND(L114&lt;&gt;"",M114=""),L114,M114))))</f>
        <v/>
      </c>
      <c r="W114">
        <f>IF(V114&lt;&gt;"",NETWORKDAYS(TODAY(),V114),"")</f>
        <v/>
      </c>
      <c r="X114">
        <f>IF(AN114="Complete","Complete",IF(W114&lt;0,"Overdue",IF(W114&lt;=U114*0.2,"At Risk","On Track")))</f>
        <v/>
      </c>
    </row>
    <row r="115">
      <c r="K115">
        <f>IF(J115="v4.0",L115,IF(J115="v3.1",M115,IF(J115="Both",L115,IF(AND(L115&lt;&gt;"",M115=""),L115,M115))))</f>
        <v/>
      </c>
      <c r="W115">
        <f>IF(V115&lt;&gt;"",NETWORKDAYS(TODAY(),V115),"")</f>
        <v/>
      </c>
      <c r="X115">
        <f>IF(AN115="Complete","Complete",IF(W115&lt;0,"Overdue",IF(W115&lt;=U115*0.2,"At Risk","On Track")))</f>
        <v/>
      </c>
    </row>
    <row r="116">
      <c r="K116">
        <f>IF(J116="v4.0",L116,IF(J116="v3.1",M116,IF(J116="Both",L116,IF(AND(L116&lt;&gt;"",M116=""),L116,M116))))</f>
        <v/>
      </c>
      <c r="W116">
        <f>IF(V116&lt;&gt;"",NETWORKDAYS(TODAY(),V116),"")</f>
        <v/>
      </c>
      <c r="X116">
        <f>IF(AN116="Complete","Complete",IF(W116&lt;0,"Overdue",IF(W116&lt;=U116*0.2,"At Risk","On Track")))</f>
        <v/>
      </c>
    </row>
    <row r="117">
      <c r="K117">
        <f>IF(J117="v4.0",L117,IF(J117="v3.1",M117,IF(J117="Both",L117,IF(AND(L117&lt;&gt;"",M117=""),L117,M117))))</f>
        <v/>
      </c>
      <c r="W117">
        <f>IF(V117&lt;&gt;"",NETWORKDAYS(TODAY(),V117),"")</f>
        <v/>
      </c>
      <c r="X117">
        <f>IF(AN117="Complete","Complete",IF(W117&lt;0,"Overdue",IF(W117&lt;=U117*0.2,"At Risk","On Track")))</f>
        <v/>
      </c>
    </row>
    <row r="118">
      <c r="K118">
        <f>IF(J118="v4.0",L118,IF(J118="v3.1",M118,IF(J118="Both",L118,IF(AND(L118&lt;&gt;"",M118=""),L118,M118))))</f>
        <v/>
      </c>
      <c r="W118">
        <f>IF(V118&lt;&gt;"",NETWORKDAYS(TODAY(),V118),"")</f>
        <v/>
      </c>
      <c r="X118">
        <f>IF(AN118="Complete","Complete",IF(W118&lt;0,"Overdue",IF(W118&lt;=U118*0.2,"At Risk","On Track")))</f>
        <v/>
      </c>
    </row>
    <row r="119">
      <c r="K119">
        <f>IF(J119="v4.0",L119,IF(J119="v3.1",M119,IF(J119="Both",L119,IF(AND(L119&lt;&gt;"",M119=""),L119,M119))))</f>
        <v/>
      </c>
      <c r="W119">
        <f>IF(V119&lt;&gt;"",NETWORKDAYS(TODAY(),V119),"")</f>
        <v/>
      </c>
      <c r="X119">
        <f>IF(AN119="Complete","Complete",IF(W119&lt;0,"Overdue",IF(W119&lt;=U119*0.2,"At Risk","On Track")))</f>
        <v/>
      </c>
    </row>
    <row r="120">
      <c r="K120">
        <f>IF(J120="v4.0",L120,IF(J120="v3.1",M120,IF(J120="Both",L120,IF(AND(L120&lt;&gt;"",M120=""),L120,M120))))</f>
        <v/>
      </c>
      <c r="W120">
        <f>IF(V120&lt;&gt;"",NETWORKDAYS(TODAY(),V120),"")</f>
        <v/>
      </c>
      <c r="X120">
        <f>IF(AN120="Complete","Complete",IF(W120&lt;0,"Overdue",IF(W120&lt;=U120*0.2,"At Risk","On Track")))</f>
        <v/>
      </c>
    </row>
    <row r="121">
      <c r="K121">
        <f>IF(J121="v4.0",L121,IF(J121="v3.1",M121,IF(J121="Both",L121,IF(AND(L121&lt;&gt;"",M121=""),L121,M121))))</f>
        <v/>
      </c>
      <c r="W121">
        <f>IF(V121&lt;&gt;"",NETWORKDAYS(TODAY(),V121),"")</f>
        <v/>
      </c>
      <c r="X121">
        <f>IF(AN121="Complete","Complete",IF(W121&lt;0,"Overdue",IF(W121&lt;=U121*0.2,"At Risk","On Track")))</f>
        <v/>
      </c>
    </row>
    <row r="122">
      <c r="K122">
        <f>IF(J122="v4.0",L122,IF(J122="v3.1",M122,IF(J122="Both",L122,IF(AND(L122&lt;&gt;"",M122=""),L122,M122))))</f>
        <v/>
      </c>
      <c r="W122">
        <f>IF(V122&lt;&gt;"",NETWORKDAYS(TODAY(),V122),"")</f>
        <v/>
      </c>
      <c r="X122">
        <f>IF(AN122="Complete","Complete",IF(W122&lt;0,"Overdue",IF(W122&lt;=U122*0.2,"At Risk","On Track")))</f>
        <v/>
      </c>
    </row>
    <row r="123">
      <c r="K123">
        <f>IF(J123="v4.0",L123,IF(J123="v3.1",M123,IF(J123="Both",L123,IF(AND(L123&lt;&gt;"",M123=""),L123,M123))))</f>
        <v/>
      </c>
      <c r="W123">
        <f>IF(V123&lt;&gt;"",NETWORKDAYS(TODAY(),V123),"")</f>
        <v/>
      </c>
      <c r="X123">
        <f>IF(AN123="Complete","Complete",IF(W123&lt;0,"Overdue",IF(W123&lt;=U123*0.2,"At Risk","On Track")))</f>
        <v/>
      </c>
    </row>
    <row r="124">
      <c r="K124">
        <f>IF(J124="v4.0",L124,IF(J124="v3.1",M124,IF(J124="Both",L124,IF(AND(L124&lt;&gt;"",M124=""),L124,M124))))</f>
        <v/>
      </c>
      <c r="W124">
        <f>IF(V124&lt;&gt;"",NETWORKDAYS(TODAY(),V124),"")</f>
        <v/>
      </c>
      <c r="X124">
        <f>IF(AN124="Complete","Complete",IF(W124&lt;0,"Overdue",IF(W124&lt;=U124*0.2,"At Risk","On Track")))</f>
        <v/>
      </c>
    </row>
    <row r="125">
      <c r="K125">
        <f>IF(J125="v4.0",L125,IF(J125="v3.1",M125,IF(J125="Both",L125,IF(AND(L125&lt;&gt;"",M125=""),L125,M125))))</f>
        <v/>
      </c>
      <c r="W125">
        <f>IF(V125&lt;&gt;"",NETWORKDAYS(TODAY(),V125),"")</f>
        <v/>
      </c>
      <c r="X125">
        <f>IF(AN125="Complete","Complete",IF(W125&lt;0,"Overdue",IF(W125&lt;=U125*0.2,"At Risk","On Track")))</f>
        <v/>
      </c>
    </row>
    <row r="126">
      <c r="K126">
        <f>IF(J126="v4.0",L126,IF(J126="v3.1",M126,IF(J126="Both",L126,IF(AND(L126&lt;&gt;"",M126=""),L126,M126))))</f>
        <v/>
      </c>
      <c r="W126">
        <f>IF(V126&lt;&gt;"",NETWORKDAYS(TODAY(),V126),"")</f>
        <v/>
      </c>
      <c r="X126">
        <f>IF(AN126="Complete","Complete",IF(W126&lt;0,"Overdue",IF(W126&lt;=U126*0.2,"At Risk","On Track")))</f>
        <v/>
      </c>
    </row>
    <row r="127">
      <c r="K127">
        <f>IF(J127="v4.0",L127,IF(J127="v3.1",M127,IF(J127="Both",L127,IF(AND(L127&lt;&gt;"",M127=""),L127,M127))))</f>
        <v/>
      </c>
      <c r="W127">
        <f>IF(V127&lt;&gt;"",NETWORKDAYS(TODAY(),V127),"")</f>
        <v/>
      </c>
      <c r="X127">
        <f>IF(AN127="Complete","Complete",IF(W127&lt;0,"Overdue",IF(W127&lt;=U127*0.2,"At Risk","On Track")))</f>
        <v/>
      </c>
    </row>
    <row r="128">
      <c r="K128">
        <f>IF(J128="v4.0",L128,IF(J128="v3.1",M128,IF(J128="Both",L128,IF(AND(L128&lt;&gt;"",M128=""),L128,M128))))</f>
        <v/>
      </c>
      <c r="W128">
        <f>IF(V128&lt;&gt;"",NETWORKDAYS(TODAY(),V128),"")</f>
        <v/>
      </c>
      <c r="X128">
        <f>IF(AN128="Complete","Complete",IF(W128&lt;0,"Overdue",IF(W128&lt;=U128*0.2,"At Risk","On Track")))</f>
        <v/>
      </c>
    </row>
    <row r="129">
      <c r="K129">
        <f>IF(J129="v4.0",L129,IF(J129="v3.1",M129,IF(J129="Both",L129,IF(AND(L129&lt;&gt;"",M129=""),L129,M129))))</f>
        <v/>
      </c>
      <c r="W129">
        <f>IF(V129&lt;&gt;"",NETWORKDAYS(TODAY(),V129),"")</f>
        <v/>
      </c>
      <c r="X129">
        <f>IF(AN129="Complete","Complete",IF(W129&lt;0,"Overdue",IF(W129&lt;=U129*0.2,"At Risk","On Track")))</f>
        <v/>
      </c>
    </row>
    <row r="130">
      <c r="K130">
        <f>IF(J130="v4.0",L130,IF(J130="v3.1",M130,IF(J130="Both",L130,IF(AND(L130&lt;&gt;"",M130=""),L130,M130))))</f>
        <v/>
      </c>
      <c r="W130">
        <f>IF(V130&lt;&gt;"",NETWORKDAYS(TODAY(),V130),"")</f>
        <v/>
      </c>
      <c r="X130">
        <f>IF(AN130="Complete","Complete",IF(W130&lt;0,"Overdue",IF(W130&lt;=U130*0.2,"At Risk","On Track")))</f>
        <v/>
      </c>
    </row>
    <row r="131">
      <c r="K131">
        <f>IF(J131="v4.0",L131,IF(J131="v3.1",M131,IF(J131="Both",L131,IF(AND(L131&lt;&gt;"",M131=""),L131,M131))))</f>
        <v/>
      </c>
      <c r="W131">
        <f>IF(V131&lt;&gt;"",NETWORKDAYS(TODAY(),V131),"")</f>
        <v/>
      </c>
      <c r="X131">
        <f>IF(AN131="Complete","Complete",IF(W131&lt;0,"Overdue",IF(W131&lt;=U131*0.2,"At Risk","On Track")))</f>
        <v/>
      </c>
    </row>
    <row r="132">
      <c r="K132">
        <f>IF(J132="v4.0",L132,IF(J132="v3.1",M132,IF(J132="Both",L132,IF(AND(L132&lt;&gt;"",M132=""),L132,M132))))</f>
        <v/>
      </c>
      <c r="W132">
        <f>IF(V132&lt;&gt;"",NETWORKDAYS(TODAY(),V132),"")</f>
        <v/>
      </c>
      <c r="X132">
        <f>IF(AN132="Complete","Complete",IF(W132&lt;0,"Overdue",IF(W132&lt;=U132*0.2,"At Risk","On Track")))</f>
        <v/>
      </c>
    </row>
    <row r="133">
      <c r="K133">
        <f>IF(J133="v4.0",L133,IF(J133="v3.1",M133,IF(J133="Both",L133,IF(AND(L133&lt;&gt;"",M133=""),L133,M133))))</f>
        <v/>
      </c>
      <c r="W133">
        <f>IF(V133&lt;&gt;"",NETWORKDAYS(TODAY(),V133),"")</f>
        <v/>
      </c>
      <c r="X133">
        <f>IF(AN133="Complete","Complete",IF(W133&lt;0,"Overdue",IF(W133&lt;=U133*0.2,"At Risk","On Track")))</f>
        <v/>
      </c>
    </row>
    <row r="134">
      <c r="K134">
        <f>IF(J134="v4.0",L134,IF(J134="v3.1",M134,IF(J134="Both",L134,IF(AND(L134&lt;&gt;"",M134=""),L134,M134))))</f>
        <v/>
      </c>
      <c r="W134">
        <f>IF(V134&lt;&gt;"",NETWORKDAYS(TODAY(),V134),"")</f>
        <v/>
      </c>
      <c r="X134">
        <f>IF(AN134="Complete","Complete",IF(W134&lt;0,"Overdue",IF(W134&lt;=U134*0.2,"At Risk","On Track")))</f>
        <v/>
      </c>
    </row>
    <row r="135">
      <c r="K135">
        <f>IF(J135="v4.0",L135,IF(J135="v3.1",M135,IF(J135="Both",L135,IF(AND(L135&lt;&gt;"",M135=""),L135,M135))))</f>
        <v/>
      </c>
      <c r="W135">
        <f>IF(V135&lt;&gt;"",NETWORKDAYS(TODAY(),V135),"")</f>
        <v/>
      </c>
      <c r="X135">
        <f>IF(AN135="Complete","Complete",IF(W135&lt;0,"Overdue",IF(W135&lt;=U135*0.2,"At Risk","On Track")))</f>
        <v/>
      </c>
    </row>
    <row r="136">
      <c r="K136">
        <f>IF(J136="v4.0",L136,IF(J136="v3.1",M136,IF(J136="Both",L136,IF(AND(L136&lt;&gt;"",M136=""),L136,M136))))</f>
        <v/>
      </c>
      <c r="W136">
        <f>IF(V136&lt;&gt;"",NETWORKDAYS(TODAY(),V136),"")</f>
        <v/>
      </c>
      <c r="X136">
        <f>IF(AN136="Complete","Complete",IF(W136&lt;0,"Overdue",IF(W136&lt;=U136*0.2,"At Risk","On Track")))</f>
        <v/>
      </c>
    </row>
    <row r="137">
      <c r="K137">
        <f>IF(J137="v4.0",L137,IF(J137="v3.1",M137,IF(J137="Both",L137,IF(AND(L137&lt;&gt;"",M137=""),L137,M137))))</f>
        <v/>
      </c>
      <c r="W137">
        <f>IF(V137&lt;&gt;"",NETWORKDAYS(TODAY(),V137),"")</f>
        <v/>
      </c>
      <c r="X137">
        <f>IF(AN137="Complete","Complete",IF(W137&lt;0,"Overdue",IF(W137&lt;=U137*0.2,"At Risk","On Track")))</f>
        <v/>
      </c>
    </row>
    <row r="138">
      <c r="K138">
        <f>IF(J138="v4.0",L138,IF(J138="v3.1",M138,IF(J138="Both",L138,IF(AND(L138&lt;&gt;"",M138=""),L138,M138))))</f>
        <v/>
      </c>
      <c r="W138">
        <f>IF(V138&lt;&gt;"",NETWORKDAYS(TODAY(),V138),"")</f>
        <v/>
      </c>
      <c r="X138">
        <f>IF(AN138="Complete","Complete",IF(W138&lt;0,"Overdue",IF(W138&lt;=U138*0.2,"At Risk","On Track")))</f>
        <v/>
      </c>
    </row>
    <row r="139">
      <c r="K139">
        <f>IF(J139="v4.0",L139,IF(J139="v3.1",M139,IF(J139="Both",L139,IF(AND(L139&lt;&gt;"",M139=""),L139,M139))))</f>
        <v/>
      </c>
      <c r="W139">
        <f>IF(V139&lt;&gt;"",NETWORKDAYS(TODAY(),V139),"")</f>
        <v/>
      </c>
      <c r="X139">
        <f>IF(AN139="Complete","Complete",IF(W139&lt;0,"Overdue",IF(W139&lt;=U139*0.2,"At Risk","On Track")))</f>
        <v/>
      </c>
    </row>
    <row r="140">
      <c r="K140">
        <f>IF(J140="v4.0",L140,IF(J140="v3.1",M140,IF(J140="Both",L140,IF(AND(L140&lt;&gt;"",M140=""),L140,M140))))</f>
        <v/>
      </c>
      <c r="W140">
        <f>IF(V140&lt;&gt;"",NETWORKDAYS(TODAY(),V140),"")</f>
        <v/>
      </c>
      <c r="X140">
        <f>IF(AN140="Complete","Complete",IF(W140&lt;0,"Overdue",IF(W140&lt;=U140*0.2,"At Risk","On Track")))</f>
        <v/>
      </c>
    </row>
    <row r="141">
      <c r="K141">
        <f>IF(J141="v4.0",L141,IF(J141="v3.1",M141,IF(J141="Both",L141,IF(AND(L141&lt;&gt;"",M141=""),L141,M141))))</f>
        <v/>
      </c>
      <c r="W141">
        <f>IF(V141&lt;&gt;"",NETWORKDAYS(TODAY(),V141),"")</f>
        <v/>
      </c>
      <c r="X141">
        <f>IF(AN141="Complete","Complete",IF(W141&lt;0,"Overdue",IF(W141&lt;=U141*0.2,"At Risk","On Track")))</f>
        <v/>
      </c>
    </row>
    <row r="142">
      <c r="K142">
        <f>IF(J142="v4.0",L142,IF(J142="v3.1",M142,IF(J142="Both",L142,IF(AND(L142&lt;&gt;"",M142=""),L142,M142))))</f>
        <v/>
      </c>
      <c r="W142">
        <f>IF(V142&lt;&gt;"",NETWORKDAYS(TODAY(),V142),"")</f>
        <v/>
      </c>
      <c r="X142">
        <f>IF(AN142="Complete","Complete",IF(W142&lt;0,"Overdue",IF(W142&lt;=U142*0.2,"At Risk","On Track")))</f>
        <v/>
      </c>
    </row>
    <row r="143">
      <c r="K143">
        <f>IF(J143="v4.0",L143,IF(J143="v3.1",M143,IF(J143="Both",L143,IF(AND(L143&lt;&gt;"",M143=""),L143,M143))))</f>
        <v/>
      </c>
      <c r="W143">
        <f>IF(V143&lt;&gt;"",NETWORKDAYS(TODAY(),V143),"")</f>
        <v/>
      </c>
      <c r="X143">
        <f>IF(AN143="Complete","Complete",IF(W143&lt;0,"Overdue",IF(W143&lt;=U143*0.2,"At Risk","On Track")))</f>
        <v/>
      </c>
    </row>
    <row r="144">
      <c r="K144">
        <f>IF(J144="v4.0",L144,IF(J144="v3.1",M144,IF(J144="Both",L144,IF(AND(L144&lt;&gt;"",M144=""),L144,M144))))</f>
        <v/>
      </c>
      <c r="W144">
        <f>IF(V144&lt;&gt;"",NETWORKDAYS(TODAY(),V144),"")</f>
        <v/>
      </c>
      <c r="X144">
        <f>IF(AN144="Complete","Complete",IF(W144&lt;0,"Overdue",IF(W144&lt;=U144*0.2,"At Risk","On Track")))</f>
        <v/>
      </c>
    </row>
    <row r="145">
      <c r="K145">
        <f>IF(J145="v4.0",L145,IF(J145="v3.1",M145,IF(J145="Both",L145,IF(AND(L145&lt;&gt;"",M145=""),L145,M145))))</f>
        <v/>
      </c>
      <c r="W145">
        <f>IF(V145&lt;&gt;"",NETWORKDAYS(TODAY(),V145),"")</f>
        <v/>
      </c>
      <c r="X145">
        <f>IF(AN145="Complete","Complete",IF(W145&lt;0,"Overdue",IF(W145&lt;=U145*0.2,"At Risk","On Track")))</f>
        <v/>
      </c>
    </row>
    <row r="146">
      <c r="K146">
        <f>IF(J146="v4.0",L146,IF(J146="v3.1",M146,IF(J146="Both",L146,IF(AND(L146&lt;&gt;"",M146=""),L146,M146))))</f>
        <v/>
      </c>
      <c r="W146">
        <f>IF(V146&lt;&gt;"",NETWORKDAYS(TODAY(),V146),"")</f>
        <v/>
      </c>
      <c r="X146">
        <f>IF(AN146="Complete","Complete",IF(W146&lt;0,"Overdue",IF(W146&lt;=U146*0.2,"At Risk","On Track")))</f>
        <v/>
      </c>
    </row>
    <row r="147">
      <c r="K147">
        <f>IF(J147="v4.0",L147,IF(J147="v3.1",M147,IF(J147="Both",L147,IF(AND(L147&lt;&gt;"",M147=""),L147,M147))))</f>
        <v/>
      </c>
      <c r="W147">
        <f>IF(V147&lt;&gt;"",NETWORKDAYS(TODAY(),V147),"")</f>
        <v/>
      </c>
      <c r="X147">
        <f>IF(AN147="Complete","Complete",IF(W147&lt;0,"Overdue",IF(W147&lt;=U147*0.2,"At Risk","On Track")))</f>
        <v/>
      </c>
    </row>
    <row r="148">
      <c r="K148">
        <f>IF(J148="v4.0",L148,IF(J148="v3.1",M148,IF(J148="Both",L148,IF(AND(L148&lt;&gt;"",M148=""),L148,M148))))</f>
        <v/>
      </c>
      <c r="W148">
        <f>IF(V148&lt;&gt;"",NETWORKDAYS(TODAY(),V148),"")</f>
        <v/>
      </c>
      <c r="X148">
        <f>IF(AN148="Complete","Complete",IF(W148&lt;0,"Overdue",IF(W148&lt;=U148*0.2,"At Risk","On Track")))</f>
        <v/>
      </c>
    </row>
    <row r="149">
      <c r="K149">
        <f>IF(J149="v4.0",L149,IF(J149="v3.1",M149,IF(J149="Both",L149,IF(AND(L149&lt;&gt;"",M149=""),L149,M149))))</f>
        <v/>
      </c>
      <c r="W149">
        <f>IF(V149&lt;&gt;"",NETWORKDAYS(TODAY(),V149),"")</f>
        <v/>
      </c>
      <c r="X149">
        <f>IF(AN149="Complete","Complete",IF(W149&lt;0,"Overdue",IF(W149&lt;=U149*0.2,"At Risk","On Track")))</f>
        <v/>
      </c>
    </row>
    <row r="150">
      <c r="K150">
        <f>IF(J150="v4.0",L150,IF(J150="v3.1",M150,IF(J150="Both",L150,IF(AND(L150&lt;&gt;"",M150=""),L150,M150))))</f>
        <v/>
      </c>
      <c r="W150">
        <f>IF(V150&lt;&gt;"",NETWORKDAYS(TODAY(),V150),"")</f>
        <v/>
      </c>
      <c r="X150">
        <f>IF(AN150="Complete","Complete",IF(W150&lt;0,"Overdue",IF(W150&lt;=U150*0.2,"At Risk","On Track")))</f>
        <v/>
      </c>
    </row>
    <row r="151">
      <c r="K151">
        <f>IF(J151="v4.0",L151,IF(J151="v3.1",M151,IF(J151="Both",L151,IF(AND(L151&lt;&gt;"",M151=""),L151,M151))))</f>
        <v/>
      </c>
      <c r="W151">
        <f>IF(V151&lt;&gt;"",NETWORKDAYS(TODAY(),V151),"")</f>
        <v/>
      </c>
      <c r="X151">
        <f>IF(AN151="Complete","Complete",IF(W151&lt;0,"Overdue",IF(W151&lt;=U151*0.2,"At Risk","On Track")))</f>
        <v/>
      </c>
    </row>
    <row r="152">
      <c r="K152">
        <f>IF(J152="v4.0",L152,IF(J152="v3.1",M152,IF(J152="Both",L152,IF(AND(L152&lt;&gt;"",M152=""),L152,M152))))</f>
        <v/>
      </c>
      <c r="W152">
        <f>IF(V152&lt;&gt;"",NETWORKDAYS(TODAY(),V152),"")</f>
        <v/>
      </c>
      <c r="X152">
        <f>IF(AN152="Complete","Complete",IF(W152&lt;0,"Overdue",IF(W152&lt;=U152*0.2,"At Risk","On Track")))</f>
        <v/>
      </c>
    </row>
    <row r="153">
      <c r="K153">
        <f>IF(J153="v4.0",L153,IF(J153="v3.1",M153,IF(J153="Both",L153,IF(AND(L153&lt;&gt;"",M153=""),L153,M153))))</f>
        <v/>
      </c>
      <c r="W153">
        <f>IF(V153&lt;&gt;"",NETWORKDAYS(TODAY(),V153),"")</f>
        <v/>
      </c>
      <c r="X153">
        <f>IF(AN153="Complete","Complete",IF(W153&lt;0,"Overdue",IF(W153&lt;=U153*0.2,"At Risk","On Track")))</f>
        <v/>
      </c>
    </row>
    <row r="154">
      <c r="K154">
        <f>IF(J154="v4.0",L154,IF(J154="v3.1",M154,IF(J154="Both",L154,IF(AND(L154&lt;&gt;"",M154=""),L154,M154))))</f>
        <v/>
      </c>
      <c r="W154">
        <f>IF(V154&lt;&gt;"",NETWORKDAYS(TODAY(),V154),"")</f>
        <v/>
      </c>
      <c r="X154">
        <f>IF(AN154="Complete","Complete",IF(W154&lt;0,"Overdue",IF(W154&lt;=U154*0.2,"At Risk","On Track")))</f>
        <v/>
      </c>
    </row>
    <row r="155">
      <c r="K155">
        <f>IF(J155="v4.0",L155,IF(J155="v3.1",M155,IF(J155="Both",L155,IF(AND(L155&lt;&gt;"",M155=""),L155,M155))))</f>
        <v/>
      </c>
      <c r="W155">
        <f>IF(V155&lt;&gt;"",NETWORKDAYS(TODAY(),V155),"")</f>
        <v/>
      </c>
      <c r="X155">
        <f>IF(AN155="Complete","Complete",IF(W155&lt;0,"Overdue",IF(W155&lt;=U155*0.2,"At Risk","On Track")))</f>
        <v/>
      </c>
    </row>
    <row r="156">
      <c r="K156">
        <f>IF(J156="v4.0",L156,IF(J156="v3.1",M156,IF(J156="Both",L156,IF(AND(L156&lt;&gt;"",M156=""),L156,M156))))</f>
        <v/>
      </c>
      <c r="W156">
        <f>IF(V156&lt;&gt;"",NETWORKDAYS(TODAY(),V156),"")</f>
        <v/>
      </c>
      <c r="X156">
        <f>IF(AN156="Complete","Complete",IF(W156&lt;0,"Overdue",IF(W156&lt;=U156*0.2,"At Risk","On Track")))</f>
        <v/>
      </c>
    </row>
    <row r="157">
      <c r="K157">
        <f>IF(J157="v4.0",L157,IF(J157="v3.1",M157,IF(J157="Both",L157,IF(AND(L157&lt;&gt;"",M157=""),L157,M157))))</f>
        <v/>
      </c>
      <c r="W157">
        <f>IF(V157&lt;&gt;"",NETWORKDAYS(TODAY(),V157),"")</f>
        <v/>
      </c>
      <c r="X157">
        <f>IF(AN157="Complete","Complete",IF(W157&lt;0,"Overdue",IF(W157&lt;=U157*0.2,"At Risk","On Track")))</f>
        <v/>
      </c>
    </row>
    <row r="158">
      <c r="K158">
        <f>IF(J158="v4.0",L158,IF(J158="v3.1",M158,IF(J158="Both",L158,IF(AND(L158&lt;&gt;"",M158=""),L158,M158))))</f>
        <v/>
      </c>
      <c r="W158">
        <f>IF(V158&lt;&gt;"",NETWORKDAYS(TODAY(),V158),"")</f>
        <v/>
      </c>
      <c r="X158">
        <f>IF(AN158="Complete","Complete",IF(W158&lt;0,"Overdue",IF(W158&lt;=U158*0.2,"At Risk","On Track")))</f>
        <v/>
      </c>
    </row>
    <row r="159">
      <c r="K159">
        <f>IF(J159="v4.0",L159,IF(J159="v3.1",M159,IF(J159="Both",L159,IF(AND(L159&lt;&gt;"",M159=""),L159,M159))))</f>
        <v/>
      </c>
      <c r="W159">
        <f>IF(V159&lt;&gt;"",NETWORKDAYS(TODAY(),V159),"")</f>
        <v/>
      </c>
      <c r="X159">
        <f>IF(AN159="Complete","Complete",IF(W159&lt;0,"Overdue",IF(W159&lt;=U159*0.2,"At Risk","On Track")))</f>
        <v/>
      </c>
    </row>
    <row r="160">
      <c r="K160">
        <f>IF(J160="v4.0",L160,IF(J160="v3.1",M160,IF(J160="Both",L160,IF(AND(L160&lt;&gt;"",M160=""),L160,M160))))</f>
        <v/>
      </c>
      <c r="W160">
        <f>IF(V160&lt;&gt;"",NETWORKDAYS(TODAY(),V160),"")</f>
        <v/>
      </c>
      <c r="X160">
        <f>IF(AN160="Complete","Complete",IF(W160&lt;0,"Overdue",IF(W160&lt;=U160*0.2,"At Risk","On Track")))</f>
        <v/>
      </c>
    </row>
    <row r="161">
      <c r="K161">
        <f>IF(J161="v4.0",L161,IF(J161="v3.1",M161,IF(J161="Both",L161,IF(AND(L161&lt;&gt;"",M161=""),L161,M161))))</f>
        <v/>
      </c>
      <c r="W161">
        <f>IF(V161&lt;&gt;"",NETWORKDAYS(TODAY(),V161),"")</f>
        <v/>
      </c>
      <c r="X161">
        <f>IF(AN161="Complete","Complete",IF(W161&lt;0,"Overdue",IF(W161&lt;=U161*0.2,"At Risk","On Track")))</f>
        <v/>
      </c>
    </row>
    <row r="162">
      <c r="K162">
        <f>IF(J162="v4.0",L162,IF(J162="v3.1",M162,IF(J162="Both",L162,IF(AND(L162&lt;&gt;"",M162=""),L162,M162))))</f>
        <v/>
      </c>
      <c r="W162">
        <f>IF(V162&lt;&gt;"",NETWORKDAYS(TODAY(),V162),"")</f>
        <v/>
      </c>
      <c r="X162">
        <f>IF(AN162="Complete","Complete",IF(W162&lt;0,"Overdue",IF(W162&lt;=U162*0.2,"At Risk","On Track")))</f>
        <v/>
      </c>
    </row>
    <row r="163">
      <c r="K163">
        <f>IF(J163="v4.0",L163,IF(J163="v3.1",M163,IF(J163="Both",L163,IF(AND(L163&lt;&gt;"",M163=""),L163,M163))))</f>
        <v/>
      </c>
      <c r="W163">
        <f>IF(V163&lt;&gt;"",NETWORKDAYS(TODAY(),V163),"")</f>
        <v/>
      </c>
      <c r="X163">
        <f>IF(AN163="Complete","Complete",IF(W163&lt;0,"Overdue",IF(W163&lt;=U163*0.2,"At Risk","On Track")))</f>
        <v/>
      </c>
    </row>
    <row r="164">
      <c r="K164">
        <f>IF(J164="v4.0",L164,IF(J164="v3.1",M164,IF(J164="Both",L164,IF(AND(L164&lt;&gt;"",M164=""),L164,M164))))</f>
        <v/>
      </c>
      <c r="W164">
        <f>IF(V164&lt;&gt;"",NETWORKDAYS(TODAY(),V164),"")</f>
        <v/>
      </c>
      <c r="X164">
        <f>IF(AN164="Complete","Complete",IF(W164&lt;0,"Overdue",IF(W164&lt;=U164*0.2,"At Risk","On Track")))</f>
        <v/>
      </c>
    </row>
    <row r="165">
      <c r="K165">
        <f>IF(J165="v4.0",L165,IF(J165="v3.1",M165,IF(J165="Both",L165,IF(AND(L165&lt;&gt;"",M165=""),L165,M165))))</f>
        <v/>
      </c>
      <c r="W165">
        <f>IF(V165&lt;&gt;"",NETWORKDAYS(TODAY(),V165),"")</f>
        <v/>
      </c>
      <c r="X165">
        <f>IF(AN165="Complete","Complete",IF(W165&lt;0,"Overdue",IF(W165&lt;=U165*0.2,"At Risk","On Track")))</f>
        <v/>
      </c>
    </row>
    <row r="166">
      <c r="K166">
        <f>IF(J166="v4.0",L166,IF(J166="v3.1",M166,IF(J166="Both",L166,IF(AND(L166&lt;&gt;"",M166=""),L166,M166))))</f>
        <v/>
      </c>
      <c r="W166">
        <f>IF(V166&lt;&gt;"",NETWORKDAYS(TODAY(),V166),"")</f>
        <v/>
      </c>
      <c r="X166">
        <f>IF(AN166="Complete","Complete",IF(W166&lt;0,"Overdue",IF(W166&lt;=U166*0.2,"At Risk","On Track")))</f>
        <v/>
      </c>
    </row>
    <row r="167">
      <c r="K167">
        <f>IF(J167="v4.0",L167,IF(J167="v3.1",M167,IF(J167="Both",L167,IF(AND(L167&lt;&gt;"",M167=""),L167,M167))))</f>
        <v/>
      </c>
      <c r="W167">
        <f>IF(V167&lt;&gt;"",NETWORKDAYS(TODAY(),V167),"")</f>
        <v/>
      </c>
      <c r="X167">
        <f>IF(AN167="Complete","Complete",IF(W167&lt;0,"Overdue",IF(W167&lt;=U167*0.2,"At Risk","On Track")))</f>
        <v/>
      </c>
    </row>
    <row r="168">
      <c r="K168">
        <f>IF(J168="v4.0",L168,IF(J168="v3.1",M168,IF(J168="Both",L168,IF(AND(L168&lt;&gt;"",M168=""),L168,M168))))</f>
        <v/>
      </c>
      <c r="W168">
        <f>IF(V168&lt;&gt;"",NETWORKDAYS(TODAY(),V168),"")</f>
        <v/>
      </c>
      <c r="X168">
        <f>IF(AN168="Complete","Complete",IF(W168&lt;0,"Overdue",IF(W168&lt;=U168*0.2,"At Risk","On Track")))</f>
        <v/>
      </c>
    </row>
    <row r="169">
      <c r="K169">
        <f>IF(J169="v4.0",L169,IF(J169="v3.1",M169,IF(J169="Both",L169,IF(AND(L169&lt;&gt;"",M169=""),L169,M169))))</f>
        <v/>
      </c>
      <c r="W169">
        <f>IF(V169&lt;&gt;"",NETWORKDAYS(TODAY(),V169),"")</f>
        <v/>
      </c>
      <c r="X169">
        <f>IF(AN169="Complete","Complete",IF(W169&lt;0,"Overdue",IF(W169&lt;=U169*0.2,"At Risk","On Track")))</f>
        <v/>
      </c>
    </row>
    <row r="170">
      <c r="K170">
        <f>IF(J170="v4.0",L170,IF(J170="v3.1",M170,IF(J170="Both",L170,IF(AND(L170&lt;&gt;"",M170=""),L170,M170))))</f>
        <v/>
      </c>
      <c r="W170">
        <f>IF(V170&lt;&gt;"",NETWORKDAYS(TODAY(),V170),"")</f>
        <v/>
      </c>
      <c r="X170">
        <f>IF(AN170="Complete","Complete",IF(W170&lt;0,"Overdue",IF(W170&lt;=U170*0.2,"At Risk","On Track")))</f>
        <v/>
      </c>
    </row>
    <row r="171">
      <c r="K171">
        <f>IF(J171="v4.0",L171,IF(J171="v3.1",M171,IF(J171="Both",L171,IF(AND(L171&lt;&gt;"",M171=""),L171,M171))))</f>
        <v/>
      </c>
      <c r="W171">
        <f>IF(V171&lt;&gt;"",NETWORKDAYS(TODAY(),V171),"")</f>
        <v/>
      </c>
      <c r="X171">
        <f>IF(AN171="Complete","Complete",IF(W171&lt;0,"Overdue",IF(W171&lt;=U171*0.2,"At Risk","On Track")))</f>
        <v/>
      </c>
    </row>
    <row r="172">
      <c r="K172">
        <f>IF(J172="v4.0",L172,IF(J172="v3.1",M172,IF(J172="Both",L172,IF(AND(L172&lt;&gt;"",M172=""),L172,M172))))</f>
        <v/>
      </c>
      <c r="W172">
        <f>IF(V172&lt;&gt;"",NETWORKDAYS(TODAY(),V172),"")</f>
        <v/>
      </c>
      <c r="X172">
        <f>IF(AN172="Complete","Complete",IF(W172&lt;0,"Overdue",IF(W172&lt;=U172*0.2,"At Risk","On Track")))</f>
        <v/>
      </c>
    </row>
    <row r="173">
      <c r="K173">
        <f>IF(J173="v4.0",L173,IF(J173="v3.1",M173,IF(J173="Both",L173,IF(AND(L173&lt;&gt;"",M173=""),L173,M173))))</f>
        <v/>
      </c>
      <c r="W173">
        <f>IF(V173&lt;&gt;"",NETWORKDAYS(TODAY(),V173),"")</f>
        <v/>
      </c>
      <c r="X173">
        <f>IF(AN173="Complete","Complete",IF(W173&lt;0,"Overdue",IF(W173&lt;=U173*0.2,"At Risk","On Track")))</f>
        <v/>
      </c>
    </row>
    <row r="174">
      <c r="K174">
        <f>IF(J174="v4.0",L174,IF(J174="v3.1",M174,IF(J174="Both",L174,IF(AND(L174&lt;&gt;"",M174=""),L174,M174))))</f>
        <v/>
      </c>
      <c r="W174">
        <f>IF(V174&lt;&gt;"",NETWORKDAYS(TODAY(),V174),"")</f>
        <v/>
      </c>
      <c r="X174">
        <f>IF(AN174="Complete","Complete",IF(W174&lt;0,"Overdue",IF(W174&lt;=U174*0.2,"At Risk","On Track")))</f>
        <v/>
      </c>
    </row>
    <row r="175">
      <c r="K175">
        <f>IF(J175="v4.0",L175,IF(J175="v3.1",M175,IF(J175="Both",L175,IF(AND(L175&lt;&gt;"",M175=""),L175,M175))))</f>
        <v/>
      </c>
      <c r="W175">
        <f>IF(V175&lt;&gt;"",NETWORKDAYS(TODAY(),V175),"")</f>
        <v/>
      </c>
      <c r="X175">
        <f>IF(AN175="Complete","Complete",IF(W175&lt;0,"Overdue",IF(W175&lt;=U175*0.2,"At Risk","On Track")))</f>
        <v/>
      </c>
    </row>
    <row r="176">
      <c r="K176">
        <f>IF(J176="v4.0",L176,IF(J176="v3.1",M176,IF(J176="Both",L176,IF(AND(L176&lt;&gt;"",M176=""),L176,M176))))</f>
        <v/>
      </c>
      <c r="W176">
        <f>IF(V176&lt;&gt;"",NETWORKDAYS(TODAY(),V176),"")</f>
        <v/>
      </c>
      <c r="X176">
        <f>IF(AN176="Complete","Complete",IF(W176&lt;0,"Overdue",IF(W176&lt;=U176*0.2,"At Risk","On Track")))</f>
        <v/>
      </c>
    </row>
    <row r="177">
      <c r="K177">
        <f>IF(J177="v4.0",L177,IF(J177="v3.1",M177,IF(J177="Both",L177,IF(AND(L177&lt;&gt;"",M177=""),L177,M177))))</f>
        <v/>
      </c>
      <c r="W177">
        <f>IF(V177&lt;&gt;"",NETWORKDAYS(TODAY(),V177),"")</f>
        <v/>
      </c>
      <c r="X177">
        <f>IF(AN177="Complete","Complete",IF(W177&lt;0,"Overdue",IF(W177&lt;=U177*0.2,"At Risk","On Track")))</f>
        <v/>
      </c>
    </row>
    <row r="178">
      <c r="K178">
        <f>IF(J178="v4.0",L178,IF(J178="v3.1",M178,IF(J178="Both",L178,IF(AND(L178&lt;&gt;"",M178=""),L178,M178))))</f>
        <v/>
      </c>
      <c r="W178">
        <f>IF(V178&lt;&gt;"",NETWORKDAYS(TODAY(),V178),"")</f>
        <v/>
      </c>
      <c r="X178">
        <f>IF(AN178="Complete","Complete",IF(W178&lt;0,"Overdue",IF(W178&lt;=U178*0.2,"At Risk","On Track")))</f>
        <v/>
      </c>
    </row>
    <row r="179">
      <c r="K179">
        <f>IF(J179="v4.0",L179,IF(J179="v3.1",M179,IF(J179="Both",L179,IF(AND(L179&lt;&gt;"",M179=""),L179,M179))))</f>
        <v/>
      </c>
      <c r="W179">
        <f>IF(V179&lt;&gt;"",NETWORKDAYS(TODAY(),V179),"")</f>
        <v/>
      </c>
      <c r="X179">
        <f>IF(AN179="Complete","Complete",IF(W179&lt;0,"Overdue",IF(W179&lt;=U179*0.2,"At Risk","On Track")))</f>
        <v/>
      </c>
    </row>
    <row r="180">
      <c r="K180">
        <f>IF(J180="v4.0",L180,IF(J180="v3.1",M180,IF(J180="Both",L180,IF(AND(L180&lt;&gt;"",M180=""),L180,M180))))</f>
        <v/>
      </c>
      <c r="W180">
        <f>IF(V180&lt;&gt;"",NETWORKDAYS(TODAY(),V180),"")</f>
        <v/>
      </c>
      <c r="X180">
        <f>IF(AN180="Complete","Complete",IF(W180&lt;0,"Overdue",IF(W180&lt;=U180*0.2,"At Risk","On Track")))</f>
        <v/>
      </c>
    </row>
    <row r="181">
      <c r="K181">
        <f>IF(J181="v4.0",L181,IF(J181="v3.1",M181,IF(J181="Both",L181,IF(AND(L181&lt;&gt;"",M181=""),L181,M181))))</f>
        <v/>
      </c>
      <c r="W181">
        <f>IF(V181&lt;&gt;"",NETWORKDAYS(TODAY(),V181),"")</f>
        <v/>
      </c>
      <c r="X181">
        <f>IF(AN181="Complete","Complete",IF(W181&lt;0,"Overdue",IF(W181&lt;=U181*0.2,"At Risk","On Track")))</f>
        <v/>
      </c>
    </row>
    <row r="182">
      <c r="K182">
        <f>IF(J182="v4.0",L182,IF(J182="v3.1",M182,IF(J182="Both",L182,IF(AND(L182&lt;&gt;"",M182=""),L182,M182))))</f>
        <v/>
      </c>
      <c r="W182">
        <f>IF(V182&lt;&gt;"",NETWORKDAYS(TODAY(),V182),"")</f>
        <v/>
      </c>
      <c r="X182">
        <f>IF(AN182="Complete","Complete",IF(W182&lt;0,"Overdue",IF(W182&lt;=U182*0.2,"At Risk","On Track")))</f>
        <v/>
      </c>
    </row>
    <row r="183">
      <c r="K183">
        <f>IF(J183="v4.0",L183,IF(J183="v3.1",M183,IF(J183="Both",L183,IF(AND(L183&lt;&gt;"",M183=""),L183,M183))))</f>
        <v/>
      </c>
      <c r="W183">
        <f>IF(V183&lt;&gt;"",NETWORKDAYS(TODAY(),V183),"")</f>
        <v/>
      </c>
      <c r="X183">
        <f>IF(AN183="Complete","Complete",IF(W183&lt;0,"Overdue",IF(W183&lt;=U183*0.2,"At Risk","On Track")))</f>
        <v/>
      </c>
    </row>
    <row r="184">
      <c r="K184">
        <f>IF(J184="v4.0",L184,IF(J184="v3.1",M184,IF(J184="Both",L184,IF(AND(L184&lt;&gt;"",M184=""),L184,M184))))</f>
        <v/>
      </c>
      <c r="W184">
        <f>IF(V184&lt;&gt;"",NETWORKDAYS(TODAY(),V184),"")</f>
        <v/>
      </c>
      <c r="X184">
        <f>IF(AN184="Complete","Complete",IF(W184&lt;0,"Overdue",IF(W184&lt;=U184*0.2,"At Risk","On Track")))</f>
        <v/>
      </c>
    </row>
    <row r="185">
      <c r="K185">
        <f>IF(J185="v4.0",L185,IF(J185="v3.1",M185,IF(J185="Both",L185,IF(AND(L185&lt;&gt;"",M185=""),L185,M185))))</f>
        <v/>
      </c>
      <c r="W185">
        <f>IF(V185&lt;&gt;"",NETWORKDAYS(TODAY(),V185),"")</f>
        <v/>
      </c>
      <c r="X185">
        <f>IF(AN185="Complete","Complete",IF(W185&lt;0,"Overdue",IF(W185&lt;=U185*0.2,"At Risk","On Track")))</f>
        <v/>
      </c>
    </row>
    <row r="186">
      <c r="K186">
        <f>IF(J186="v4.0",L186,IF(J186="v3.1",M186,IF(J186="Both",L186,IF(AND(L186&lt;&gt;"",M186=""),L186,M186))))</f>
        <v/>
      </c>
      <c r="W186">
        <f>IF(V186&lt;&gt;"",NETWORKDAYS(TODAY(),V186),"")</f>
        <v/>
      </c>
      <c r="X186">
        <f>IF(AN186="Complete","Complete",IF(W186&lt;0,"Overdue",IF(W186&lt;=U186*0.2,"At Risk","On Track")))</f>
        <v/>
      </c>
    </row>
    <row r="187">
      <c r="K187">
        <f>IF(J187="v4.0",L187,IF(J187="v3.1",M187,IF(J187="Both",L187,IF(AND(L187&lt;&gt;"",M187=""),L187,M187))))</f>
        <v/>
      </c>
      <c r="W187">
        <f>IF(V187&lt;&gt;"",NETWORKDAYS(TODAY(),V187),"")</f>
        <v/>
      </c>
      <c r="X187">
        <f>IF(AN187="Complete","Complete",IF(W187&lt;0,"Overdue",IF(W187&lt;=U187*0.2,"At Risk","On Track")))</f>
        <v/>
      </c>
    </row>
    <row r="188">
      <c r="K188">
        <f>IF(J188="v4.0",L188,IF(J188="v3.1",M188,IF(J188="Both",L188,IF(AND(L188&lt;&gt;"",M188=""),L188,M188))))</f>
        <v/>
      </c>
      <c r="W188">
        <f>IF(V188&lt;&gt;"",NETWORKDAYS(TODAY(),V188),"")</f>
        <v/>
      </c>
      <c r="X188">
        <f>IF(AN188="Complete","Complete",IF(W188&lt;0,"Overdue",IF(W188&lt;=U188*0.2,"At Risk","On Track")))</f>
        <v/>
      </c>
    </row>
    <row r="189">
      <c r="K189">
        <f>IF(J189="v4.0",L189,IF(J189="v3.1",M189,IF(J189="Both",L189,IF(AND(L189&lt;&gt;"",M189=""),L189,M189))))</f>
        <v/>
      </c>
      <c r="W189">
        <f>IF(V189&lt;&gt;"",NETWORKDAYS(TODAY(),V189),"")</f>
        <v/>
      </c>
      <c r="X189">
        <f>IF(AN189="Complete","Complete",IF(W189&lt;0,"Overdue",IF(W189&lt;=U189*0.2,"At Risk","On Track")))</f>
        <v/>
      </c>
    </row>
    <row r="190">
      <c r="K190">
        <f>IF(J190="v4.0",L190,IF(J190="v3.1",M190,IF(J190="Both",L190,IF(AND(L190&lt;&gt;"",M190=""),L190,M190))))</f>
        <v/>
      </c>
      <c r="W190">
        <f>IF(V190&lt;&gt;"",NETWORKDAYS(TODAY(),V190),"")</f>
        <v/>
      </c>
      <c r="X190">
        <f>IF(AN190="Complete","Complete",IF(W190&lt;0,"Overdue",IF(W190&lt;=U190*0.2,"At Risk","On Track")))</f>
        <v/>
      </c>
    </row>
    <row r="191">
      <c r="K191">
        <f>IF(J191="v4.0",L191,IF(J191="v3.1",M191,IF(J191="Both",L191,IF(AND(L191&lt;&gt;"",M191=""),L191,M191))))</f>
        <v/>
      </c>
      <c r="W191">
        <f>IF(V191&lt;&gt;"",NETWORKDAYS(TODAY(),V191),"")</f>
        <v/>
      </c>
      <c r="X191">
        <f>IF(AN191="Complete","Complete",IF(W191&lt;0,"Overdue",IF(W191&lt;=U191*0.2,"At Risk","On Track")))</f>
        <v/>
      </c>
    </row>
    <row r="192">
      <c r="K192">
        <f>IF(J192="v4.0",L192,IF(J192="v3.1",M192,IF(J192="Both",L192,IF(AND(L192&lt;&gt;"",M192=""),L192,M192))))</f>
        <v/>
      </c>
      <c r="W192">
        <f>IF(V192&lt;&gt;"",NETWORKDAYS(TODAY(),V192),"")</f>
        <v/>
      </c>
      <c r="X192">
        <f>IF(AN192="Complete","Complete",IF(W192&lt;0,"Overdue",IF(W192&lt;=U192*0.2,"At Risk","On Track")))</f>
        <v/>
      </c>
    </row>
    <row r="193">
      <c r="K193">
        <f>IF(J193="v4.0",L193,IF(J193="v3.1",M193,IF(J193="Both",L193,IF(AND(L193&lt;&gt;"",M193=""),L193,M193))))</f>
        <v/>
      </c>
      <c r="W193">
        <f>IF(V193&lt;&gt;"",NETWORKDAYS(TODAY(),V193),"")</f>
        <v/>
      </c>
      <c r="X193">
        <f>IF(AN193="Complete","Complete",IF(W193&lt;0,"Overdue",IF(W193&lt;=U193*0.2,"At Risk","On Track")))</f>
        <v/>
      </c>
    </row>
    <row r="194">
      <c r="K194">
        <f>IF(J194="v4.0",L194,IF(J194="v3.1",M194,IF(J194="Both",L194,IF(AND(L194&lt;&gt;"",M194=""),L194,M194))))</f>
        <v/>
      </c>
      <c r="W194">
        <f>IF(V194&lt;&gt;"",NETWORKDAYS(TODAY(),V194),"")</f>
        <v/>
      </c>
      <c r="X194">
        <f>IF(AN194="Complete","Complete",IF(W194&lt;0,"Overdue",IF(W194&lt;=U194*0.2,"At Risk","On Track")))</f>
        <v/>
      </c>
    </row>
    <row r="195">
      <c r="K195">
        <f>IF(J195="v4.0",L195,IF(J195="v3.1",M195,IF(J195="Both",L195,IF(AND(L195&lt;&gt;"",M195=""),L195,M195))))</f>
        <v/>
      </c>
      <c r="W195">
        <f>IF(V195&lt;&gt;"",NETWORKDAYS(TODAY(),V195),"")</f>
        <v/>
      </c>
      <c r="X195">
        <f>IF(AN195="Complete","Complete",IF(W195&lt;0,"Overdue",IF(W195&lt;=U195*0.2,"At Risk","On Track")))</f>
        <v/>
      </c>
    </row>
    <row r="196">
      <c r="K196">
        <f>IF(J196="v4.0",L196,IF(J196="v3.1",M196,IF(J196="Both",L196,IF(AND(L196&lt;&gt;"",M196=""),L196,M196))))</f>
        <v/>
      </c>
      <c r="W196">
        <f>IF(V196&lt;&gt;"",NETWORKDAYS(TODAY(),V196),"")</f>
        <v/>
      </c>
      <c r="X196">
        <f>IF(AN196="Complete","Complete",IF(W196&lt;0,"Overdue",IF(W196&lt;=U196*0.2,"At Risk","On Track")))</f>
        <v/>
      </c>
    </row>
    <row r="197">
      <c r="K197">
        <f>IF(J197="v4.0",L197,IF(J197="v3.1",M197,IF(J197="Both",L197,IF(AND(L197&lt;&gt;"",M197=""),L197,M197))))</f>
        <v/>
      </c>
      <c r="W197">
        <f>IF(V197&lt;&gt;"",NETWORKDAYS(TODAY(),V197),"")</f>
        <v/>
      </c>
      <c r="X197">
        <f>IF(AN197="Complete","Complete",IF(W197&lt;0,"Overdue",IF(W197&lt;=U197*0.2,"At Risk","On Track")))</f>
        <v/>
      </c>
    </row>
    <row r="198">
      <c r="K198">
        <f>IF(J198="v4.0",L198,IF(J198="v3.1",M198,IF(J198="Both",L198,IF(AND(L198&lt;&gt;"",M198=""),L198,M198))))</f>
        <v/>
      </c>
      <c r="W198">
        <f>IF(V198&lt;&gt;"",NETWORKDAYS(TODAY(),V198),"")</f>
        <v/>
      </c>
      <c r="X198">
        <f>IF(AN198="Complete","Complete",IF(W198&lt;0,"Overdue",IF(W198&lt;=U198*0.2,"At Risk","On Track")))</f>
        <v/>
      </c>
    </row>
    <row r="199">
      <c r="K199">
        <f>IF(J199="v4.0",L199,IF(J199="v3.1",M199,IF(J199="Both",L199,IF(AND(L199&lt;&gt;"",M199=""),L199,M199))))</f>
        <v/>
      </c>
      <c r="W199">
        <f>IF(V199&lt;&gt;"",NETWORKDAYS(TODAY(),V199),"")</f>
        <v/>
      </c>
      <c r="X199">
        <f>IF(AN199="Complete","Complete",IF(W199&lt;0,"Overdue",IF(W199&lt;=U199*0.2,"At Risk","On Track")))</f>
        <v/>
      </c>
    </row>
    <row r="200">
      <c r="K200">
        <f>IF(J200="v4.0",L200,IF(J200="v3.1",M200,IF(J200="Both",L200,IF(AND(L200&lt;&gt;"",M200=""),L200,M200))))</f>
        <v/>
      </c>
      <c r="W200">
        <f>IF(V200&lt;&gt;"",NETWORKDAYS(TODAY(),V200),"")</f>
        <v/>
      </c>
      <c r="X200">
        <f>IF(AN200="Complete","Complete",IF(W200&lt;0,"Overdue",IF(W200&lt;=U200*0.2,"At Risk","On Track")))</f>
        <v/>
      </c>
    </row>
    <row r="201">
      <c r="K201">
        <f>IF(J201="v4.0",L201,IF(J201="v3.1",M201,IF(J201="Both",L201,IF(AND(L201&lt;&gt;"",M201=""),L201,M201))))</f>
        <v/>
      </c>
      <c r="W201">
        <f>IF(V201&lt;&gt;"",NETWORKDAYS(TODAY(),V201),"")</f>
        <v/>
      </c>
      <c r="X201">
        <f>IF(AN201="Complete","Complete",IF(W201&lt;0,"Overdue",IF(W201&lt;=U201*0.2,"At Risk","On Track")))</f>
        <v/>
      </c>
    </row>
    <row r="202">
      <c r="K202">
        <f>IF(J202="v4.0",L202,IF(J202="v3.1",M202,IF(J202="Both",L202,IF(AND(L202&lt;&gt;"",M202=""),L202,M202))))</f>
        <v/>
      </c>
      <c r="W202">
        <f>IF(V202&lt;&gt;"",NETWORKDAYS(TODAY(),V202),"")</f>
        <v/>
      </c>
      <c r="X202">
        <f>IF(AN202="Complete","Complete",IF(W202&lt;0,"Overdue",IF(W202&lt;=U202*0.2,"At Risk","On Track")))</f>
        <v/>
      </c>
    </row>
    <row r="203">
      <c r="K203">
        <f>IF(J203="v4.0",L203,IF(J203="v3.1",M203,IF(J203="Both",L203,IF(AND(L203&lt;&gt;"",M203=""),L203,M203))))</f>
        <v/>
      </c>
      <c r="W203">
        <f>IF(V203&lt;&gt;"",NETWORKDAYS(TODAY(),V203),"")</f>
        <v/>
      </c>
      <c r="X203">
        <f>IF(AN203="Complete","Complete",IF(W203&lt;0,"Overdue",IF(W203&lt;=U203*0.2,"At Risk","On Track")))</f>
        <v/>
      </c>
    </row>
    <row r="204">
      <c r="K204">
        <f>IF(J204="v4.0",L204,IF(J204="v3.1",M204,IF(J204="Both",L204,IF(AND(L204&lt;&gt;"",M204=""),L204,M204))))</f>
        <v/>
      </c>
      <c r="W204">
        <f>IF(V204&lt;&gt;"",NETWORKDAYS(TODAY(),V204),"")</f>
        <v/>
      </c>
      <c r="X204">
        <f>IF(AN204="Complete","Complete",IF(W204&lt;0,"Overdue",IF(W204&lt;=U204*0.2,"At Risk","On Track")))</f>
        <v/>
      </c>
    </row>
    <row r="205">
      <c r="K205">
        <f>IF(J205="v4.0",L205,IF(J205="v3.1",M205,IF(J205="Both",L205,IF(AND(L205&lt;&gt;"",M205=""),L205,M205))))</f>
        <v/>
      </c>
      <c r="W205">
        <f>IF(V205&lt;&gt;"",NETWORKDAYS(TODAY(),V205),"")</f>
        <v/>
      </c>
      <c r="X205">
        <f>IF(AN205="Complete","Complete",IF(W205&lt;0,"Overdue",IF(W205&lt;=U205*0.2,"At Risk","On Track")))</f>
        <v/>
      </c>
    </row>
    <row r="206">
      <c r="K206">
        <f>IF(J206="v4.0",L206,IF(J206="v3.1",M206,IF(J206="Both",L206,IF(AND(L206&lt;&gt;"",M206=""),L206,M206))))</f>
        <v/>
      </c>
      <c r="W206">
        <f>IF(V206&lt;&gt;"",NETWORKDAYS(TODAY(),V206),"")</f>
        <v/>
      </c>
      <c r="X206">
        <f>IF(AN206="Complete","Complete",IF(W206&lt;0,"Overdue",IF(W206&lt;=U206*0.2,"At Risk","On Track")))</f>
        <v/>
      </c>
    </row>
    <row r="207">
      <c r="K207">
        <f>IF(J207="v4.0",L207,IF(J207="v3.1",M207,IF(J207="Both",L207,IF(AND(L207&lt;&gt;"",M207=""),L207,M207))))</f>
        <v/>
      </c>
      <c r="W207">
        <f>IF(V207&lt;&gt;"",NETWORKDAYS(TODAY(),V207),"")</f>
        <v/>
      </c>
      <c r="X207">
        <f>IF(AN207="Complete","Complete",IF(W207&lt;0,"Overdue",IF(W207&lt;=U207*0.2,"At Risk","On Track")))</f>
        <v/>
      </c>
    </row>
    <row r="208">
      <c r="K208">
        <f>IF(J208="v4.0",L208,IF(J208="v3.1",M208,IF(J208="Both",L208,IF(AND(L208&lt;&gt;"",M208=""),L208,M208))))</f>
        <v/>
      </c>
      <c r="W208">
        <f>IF(V208&lt;&gt;"",NETWORKDAYS(TODAY(),V208),"")</f>
        <v/>
      </c>
      <c r="X208">
        <f>IF(AN208="Complete","Complete",IF(W208&lt;0,"Overdue",IF(W208&lt;=U208*0.2,"At Risk","On Track")))</f>
        <v/>
      </c>
    </row>
    <row r="209">
      <c r="K209">
        <f>IF(J209="v4.0",L209,IF(J209="v3.1",M209,IF(J209="Both",L209,IF(AND(L209&lt;&gt;"",M209=""),L209,M209))))</f>
        <v/>
      </c>
      <c r="W209">
        <f>IF(V209&lt;&gt;"",NETWORKDAYS(TODAY(),V209),"")</f>
        <v/>
      </c>
      <c r="X209">
        <f>IF(AN209="Complete","Complete",IF(W209&lt;0,"Overdue",IF(W209&lt;=U209*0.2,"At Risk","On Track")))</f>
        <v/>
      </c>
    </row>
    <row r="210">
      <c r="K210">
        <f>IF(J210="v4.0",L210,IF(J210="v3.1",M210,IF(J210="Both",L210,IF(AND(L210&lt;&gt;"",M210=""),L210,M210))))</f>
        <v/>
      </c>
      <c r="W210">
        <f>IF(V210&lt;&gt;"",NETWORKDAYS(TODAY(),V210),"")</f>
        <v/>
      </c>
      <c r="X210">
        <f>IF(AN210="Complete","Complete",IF(W210&lt;0,"Overdue",IF(W210&lt;=U210*0.2,"At Risk","On Track")))</f>
        <v/>
      </c>
    </row>
    <row r="211">
      <c r="K211">
        <f>IF(J211="v4.0",L211,IF(J211="v3.1",M211,IF(J211="Both",L211,IF(AND(L211&lt;&gt;"",M211=""),L211,M211))))</f>
        <v/>
      </c>
      <c r="W211">
        <f>IF(V211&lt;&gt;"",NETWORKDAYS(TODAY(),V211),"")</f>
        <v/>
      </c>
      <c r="X211">
        <f>IF(AN211="Complete","Complete",IF(W211&lt;0,"Overdue",IF(W211&lt;=U211*0.2,"At Risk","On Track")))</f>
        <v/>
      </c>
    </row>
    <row r="212">
      <c r="K212">
        <f>IF(J212="v4.0",L212,IF(J212="v3.1",M212,IF(J212="Both",L212,IF(AND(L212&lt;&gt;"",M212=""),L212,M212))))</f>
        <v/>
      </c>
      <c r="W212">
        <f>IF(V212&lt;&gt;"",NETWORKDAYS(TODAY(),V212),"")</f>
        <v/>
      </c>
      <c r="X212">
        <f>IF(AN212="Complete","Complete",IF(W212&lt;0,"Overdue",IF(W212&lt;=U212*0.2,"At Risk","On Track")))</f>
        <v/>
      </c>
    </row>
    <row r="213">
      <c r="K213">
        <f>IF(J213="v4.0",L213,IF(J213="v3.1",M213,IF(J213="Both",L213,IF(AND(L213&lt;&gt;"",M213=""),L213,M213))))</f>
        <v/>
      </c>
      <c r="W213">
        <f>IF(V213&lt;&gt;"",NETWORKDAYS(TODAY(),V213),"")</f>
        <v/>
      </c>
      <c r="X213">
        <f>IF(AN213="Complete","Complete",IF(W213&lt;0,"Overdue",IF(W213&lt;=U213*0.2,"At Risk","On Track")))</f>
        <v/>
      </c>
    </row>
    <row r="214">
      <c r="K214">
        <f>IF(J214="v4.0",L214,IF(J214="v3.1",M214,IF(J214="Both",L214,IF(AND(L214&lt;&gt;"",M214=""),L214,M214))))</f>
        <v/>
      </c>
      <c r="W214">
        <f>IF(V214&lt;&gt;"",NETWORKDAYS(TODAY(),V214),"")</f>
        <v/>
      </c>
      <c r="X214">
        <f>IF(AN214="Complete","Complete",IF(W214&lt;0,"Overdue",IF(W214&lt;=U214*0.2,"At Risk","On Track")))</f>
        <v/>
      </c>
    </row>
    <row r="215">
      <c r="K215">
        <f>IF(J215="v4.0",L215,IF(J215="v3.1",M215,IF(J215="Both",L215,IF(AND(L215&lt;&gt;"",M215=""),L215,M215))))</f>
        <v/>
      </c>
      <c r="W215">
        <f>IF(V215&lt;&gt;"",NETWORKDAYS(TODAY(),V215),"")</f>
        <v/>
      </c>
      <c r="X215">
        <f>IF(AN215="Complete","Complete",IF(W215&lt;0,"Overdue",IF(W215&lt;=U215*0.2,"At Risk","On Track")))</f>
        <v/>
      </c>
    </row>
    <row r="216">
      <c r="K216">
        <f>IF(J216="v4.0",L216,IF(J216="v3.1",M216,IF(J216="Both",L216,IF(AND(L216&lt;&gt;"",M216=""),L216,M216))))</f>
        <v/>
      </c>
      <c r="W216">
        <f>IF(V216&lt;&gt;"",NETWORKDAYS(TODAY(),V216),"")</f>
        <v/>
      </c>
      <c r="X216">
        <f>IF(AN216="Complete","Complete",IF(W216&lt;0,"Overdue",IF(W216&lt;=U216*0.2,"At Risk","On Track")))</f>
        <v/>
      </c>
    </row>
    <row r="217">
      <c r="K217">
        <f>IF(J217="v4.0",L217,IF(J217="v3.1",M217,IF(J217="Both",L217,IF(AND(L217&lt;&gt;"",M217=""),L217,M217))))</f>
        <v/>
      </c>
      <c r="W217">
        <f>IF(V217&lt;&gt;"",NETWORKDAYS(TODAY(),V217),"")</f>
        <v/>
      </c>
      <c r="X217">
        <f>IF(AN217="Complete","Complete",IF(W217&lt;0,"Overdue",IF(W217&lt;=U217*0.2,"At Risk","On Track")))</f>
        <v/>
      </c>
    </row>
    <row r="218">
      <c r="K218">
        <f>IF(J218="v4.0",L218,IF(J218="v3.1",M218,IF(J218="Both",L218,IF(AND(L218&lt;&gt;"",M218=""),L218,M218))))</f>
        <v/>
      </c>
      <c r="W218">
        <f>IF(V218&lt;&gt;"",NETWORKDAYS(TODAY(),V218),"")</f>
        <v/>
      </c>
      <c r="X218">
        <f>IF(AN218="Complete","Complete",IF(W218&lt;0,"Overdue",IF(W218&lt;=U218*0.2,"At Risk","On Track")))</f>
        <v/>
      </c>
    </row>
    <row r="219">
      <c r="K219">
        <f>IF(J219="v4.0",L219,IF(J219="v3.1",M219,IF(J219="Both",L219,IF(AND(L219&lt;&gt;"",M219=""),L219,M219))))</f>
        <v/>
      </c>
      <c r="W219">
        <f>IF(V219&lt;&gt;"",NETWORKDAYS(TODAY(),V219),"")</f>
        <v/>
      </c>
      <c r="X219">
        <f>IF(AN219="Complete","Complete",IF(W219&lt;0,"Overdue",IF(W219&lt;=U219*0.2,"At Risk","On Track")))</f>
        <v/>
      </c>
    </row>
    <row r="220">
      <c r="K220">
        <f>IF(J220="v4.0",L220,IF(J220="v3.1",M220,IF(J220="Both",L220,IF(AND(L220&lt;&gt;"",M220=""),L220,M220))))</f>
        <v/>
      </c>
      <c r="W220">
        <f>IF(V220&lt;&gt;"",NETWORKDAYS(TODAY(),V220),"")</f>
        <v/>
      </c>
      <c r="X220">
        <f>IF(AN220="Complete","Complete",IF(W220&lt;0,"Overdue",IF(W220&lt;=U220*0.2,"At Risk","On Track")))</f>
        <v/>
      </c>
    </row>
    <row r="221">
      <c r="K221">
        <f>IF(J221="v4.0",L221,IF(J221="v3.1",M221,IF(J221="Both",L221,IF(AND(L221&lt;&gt;"",M221=""),L221,M221))))</f>
        <v/>
      </c>
      <c r="W221">
        <f>IF(V221&lt;&gt;"",NETWORKDAYS(TODAY(),V221),"")</f>
        <v/>
      </c>
      <c r="X221">
        <f>IF(AN221="Complete","Complete",IF(W221&lt;0,"Overdue",IF(W221&lt;=U221*0.2,"At Risk","On Track")))</f>
        <v/>
      </c>
    </row>
    <row r="222">
      <c r="K222">
        <f>IF(J222="v4.0",L222,IF(J222="v3.1",M222,IF(J222="Both",L222,IF(AND(L222&lt;&gt;"",M222=""),L222,M222))))</f>
        <v/>
      </c>
      <c r="W222">
        <f>IF(V222&lt;&gt;"",NETWORKDAYS(TODAY(),V222),"")</f>
        <v/>
      </c>
      <c r="X222">
        <f>IF(AN222="Complete","Complete",IF(W222&lt;0,"Overdue",IF(W222&lt;=U222*0.2,"At Risk","On Track")))</f>
        <v/>
      </c>
    </row>
    <row r="223">
      <c r="K223">
        <f>IF(J223="v4.0",L223,IF(J223="v3.1",M223,IF(J223="Both",L223,IF(AND(L223&lt;&gt;"",M223=""),L223,M223))))</f>
        <v/>
      </c>
      <c r="W223">
        <f>IF(V223&lt;&gt;"",NETWORKDAYS(TODAY(),V223),"")</f>
        <v/>
      </c>
      <c r="X223">
        <f>IF(AN223="Complete","Complete",IF(W223&lt;0,"Overdue",IF(W223&lt;=U223*0.2,"At Risk","On Track")))</f>
        <v/>
      </c>
    </row>
    <row r="224">
      <c r="K224">
        <f>IF(J224="v4.0",L224,IF(J224="v3.1",M224,IF(J224="Both",L224,IF(AND(L224&lt;&gt;"",M224=""),L224,M224))))</f>
        <v/>
      </c>
      <c r="W224">
        <f>IF(V224&lt;&gt;"",NETWORKDAYS(TODAY(),V224),"")</f>
        <v/>
      </c>
      <c r="X224">
        <f>IF(AN224="Complete","Complete",IF(W224&lt;0,"Overdue",IF(W224&lt;=U224*0.2,"At Risk","On Track")))</f>
        <v/>
      </c>
    </row>
    <row r="225">
      <c r="K225">
        <f>IF(J225="v4.0",L225,IF(J225="v3.1",M225,IF(J225="Both",L225,IF(AND(L225&lt;&gt;"",M225=""),L225,M225))))</f>
        <v/>
      </c>
      <c r="W225">
        <f>IF(V225&lt;&gt;"",NETWORKDAYS(TODAY(),V225),"")</f>
        <v/>
      </c>
      <c r="X225">
        <f>IF(AN225="Complete","Complete",IF(W225&lt;0,"Overdue",IF(W225&lt;=U225*0.2,"At Risk","On Track")))</f>
        <v/>
      </c>
    </row>
    <row r="226">
      <c r="K226">
        <f>IF(J226="v4.0",L226,IF(J226="v3.1",M226,IF(J226="Both",L226,IF(AND(L226&lt;&gt;"",M226=""),L226,M226))))</f>
        <v/>
      </c>
      <c r="W226">
        <f>IF(V226&lt;&gt;"",NETWORKDAYS(TODAY(),V226),"")</f>
        <v/>
      </c>
      <c r="X226">
        <f>IF(AN226="Complete","Complete",IF(W226&lt;0,"Overdue",IF(W226&lt;=U226*0.2,"At Risk","On Track")))</f>
        <v/>
      </c>
    </row>
    <row r="227">
      <c r="K227">
        <f>IF(J227="v4.0",L227,IF(J227="v3.1",M227,IF(J227="Both",L227,IF(AND(L227&lt;&gt;"",M227=""),L227,M227))))</f>
        <v/>
      </c>
      <c r="W227">
        <f>IF(V227&lt;&gt;"",NETWORKDAYS(TODAY(),V227),"")</f>
        <v/>
      </c>
      <c r="X227">
        <f>IF(AN227="Complete","Complete",IF(W227&lt;0,"Overdue",IF(W227&lt;=U227*0.2,"At Risk","On Track")))</f>
        <v/>
      </c>
    </row>
    <row r="228">
      <c r="K228">
        <f>IF(J228="v4.0",L228,IF(J228="v3.1",M228,IF(J228="Both",L228,IF(AND(L228&lt;&gt;"",M228=""),L228,M228))))</f>
        <v/>
      </c>
      <c r="W228">
        <f>IF(V228&lt;&gt;"",NETWORKDAYS(TODAY(),V228),"")</f>
        <v/>
      </c>
      <c r="X228">
        <f>IF(AN228="Complete","Complete",IF(W228&lt;0,"Overdue",IF(W228&lt;=U228*0.2,"At Risk","On Track")))</f>
        <v/>
      </c>
    </row>
    <row r="229">
      <c r="K229">
        <f>IF(J229="v4.0",L229,IF(J229="v3.1",M229,IF(J229="Both",L229,IF(AND(L229&lt;&gt;"",M229=""),L229,M229))))</f>
        <v/>
      </c>
      <c r="W229">
        <f>IF(V229&lt;&gt;"",NETWORKDAYS(TODAY(),V229),"")</f>
        <v/>
      </c>
      <c r="X229">
        <f>IF(AN229="Complete","Complete",IF(W229&lt;0,"Overdue",IF(W229&lt;=U229*0.2,"At Risk","On Track")))</f>
        <v/>
      </c>
    </row>
    <row r="230">
      <c r="K230">
        <f>IF(J230="v4.0",L230,IF(J230="v3.1",M230,IF(J230="Both",L230,IF(AND(L230&lt;&gt;"",M230=""),L230,M230))))</f>
        <v/>
      </c>
      <c r="W230">
        <f>IF(V230&lt;&gt;"",NETWORKDAYS(TODAY(),V230),"")</f>
        <v/>
      </c>
      <c r="X230">
        <f>IF(AN230="Complete","Complete",IF(W230&lt;0,"Overdue",IF(W230&lt;=U230*0.2,"At Risk","On Track")))</f>
        <v/>
      </c>
    </row>
    <row r="231">
      <c r="K231">
        <f>IF(J231="v4.0",L231,IF(J231="v3.1",M231,IF(J231="Both",L231,IF(AND(L231&lt;&gt;"",M231=""),L231,M231))))</f>
        <v/>
      </c>
      <c r="W231">
        <f>IF(V231&lt;&gt;"",NETWORKDAYS(TODAY(),V231),"")</f>
        <v/>
      </c>
      <c r="X231">
        <f>IF(AN231="Complete","Complete",IF(W231&lt;0,"Overdue",IF(W231&lt;=U231*0.2,"At Risk","On Track")))</f>
        <v/>
      </c>
    </row>
    <row r="232">
      <c r="K232">
        <f>IF(J232="v4.0",L232,IF(J232="v3.1",M232,IF(J232="Both",L232,IF(AND(L232&lt;&gt;"",M232=""),L232,M232))))</f>
        <v/>
      </c>
      <c r="W232">
        <f>IF(V232&lt;&gt;"",NETWORKDAYS(TODAY(),V232),"")</f>
        <v/>
      </c>
      <c r="X232">
        <f>IF(AN232="Complete","Complete",IF(W232&lt;0,"Overdue",IF(W232&lt;=U232*0.2,"At Risk","On Track")))</f>
        <v/>
      </c>
    </row>
    <row r="233">
      <c r="K233">
        <f>IF(J233="v4.0",L233,IF(J233="v3.1",M233,IF(J233="Both",L233,IF(AND(L233&lt;&gt;"",M233=""),L233,M233))))</f>
        <v/>
      </c>
      <c r="W233">
        <f>IF(V233&lt;&gt;"",NETWORKDAYS(TODAY(),V233),"")</f>
        <v/>
      </c>
      <c r="X233">
        <f>IF(AN233="Complete","Complete",IF(W233&lt;0,"Overdue",IF(W233&lt;=U233*0.2,"At Risk","On Track")))</f>
        <v/>
      </c>
    </row>
    <row r="234">
      <c r="K234">
        <f>IF(J234="v4.0",L234,IF(J234="v3.1",M234,IF(J234="Both",L234,IF(AND(L234&lt;&gt;"",M234=""),L234,M234))))</f>
        <v/>
      </c>
      <c r="W234">
        <f>IF(V234&lt;&gt;"",NETWORKDAYS(TODAY(),V234),"")</f>
        <v/>
      </c>
      <c r="X234">
        <f>IF(AN234="Complete","Complete",IF(W234&lt;0,"Overdue",IF(W234&lt;=U234*0.2,"At Risk","On Track")))</f>
        <v/>
      </c>
    </row>
    <row r="235">
      <c r="K235">
        <f>IF(J235="v4.0",L235,IF(J235="v3.1",M235,IF(J235="Both",L235,IF(AND(L235&lt;&gt;"",M235=""),L235,M235))))</f>
        <v/>
      </c>
      <c r="W235">
        <f>IF(V235&lt;&gt;"",NETWORKDAYS(TODAY(),V235),"")</f>
        <v/>
      </c>
      <c r="X235">
        <f>IF(AN235="Complete","Complete",IF(W235&lt;0,"Overdue",IF(W235&lt;=U235*0.2,"At Risk","On Track")))</f>
        <v/>
      </c>
    </row>
    <row r="236">
      <c r="K236">
        <f>IF(J236="v4.0",L236,IF(J236="v3.1",M236,IF(J236="Both",L236,IF(AND(L236&lt;&gt;"",M236=""),L236,M236))))</f>
        <v/>
      </c>
      <c r="W236">
        <f>IF(V236&lt;&gt;"",NETWORKDAYS(TODAY(),V236),"")</f>
        <v/>
      </c>
      <c r="X236">
        <f>IF(AN236="Complete","Complete",IF(W236&lt;0,"Overdue",IF(W236&lt;=U236*0.2,"At Risk","On Track")))</f>
        <v/>
      </c>
    </row>
    <row r="237">
      <c r="K237">
        <f>IF(J237="v4.0",L237,IF(J237="v3.1",M237,IF(J237="Both",L237,IF(AND(L237&lt;&gt;"",M237=""),L237,M237))))</f>
        <v/>
      </c>
      <c r="W237">
        <f>IF(V237&lt;&gt;"",NETWORKDAYS(TODAY(),V237),"")</f>
        <v/>
      </c>
      <c r="X237">
        <f>IF(AN237="Complete","Complete",IF(W237&lt;0,"Overdue",IF(W237&lt;=U237*0.2,"At Risk","On Track")))</f>
        <v/>
      </c>
    </row>
    <row r="238">
      <c r="K238">
        <f>IF(J238="v4.0",L238,IF(J238="v3.1",M238,IF(J238="Both",L238,IF(AND(L238&lt;&gt;"",M238=""),L238,M238))))</f>
        <v/>
      </c>
      <c r="W238">
        <f>IF(V238&lt;&gt;"",NETWORKDAYS(TODAY(),V238),"")</f>
        <v/>
      </c>
      <c r="X238">
        <f>IF(AN238="Complete","Complete",IF(W238&lt;0,"Overdue",IF(W238&lt;=U238*0.2,"At Risk","On Track")))</f>
        <v/>
      </c>
    </row>
    <row r="239">
      <c r="K239">
        <f>IF(J239="v4.0",L239,IF(J239="v3.1",M239,IF(J239="Both",L239,IF(AND(L239&lt;&gt;"",M239=""),L239,M239))))</f>
        <v/>
      </c>
      <c r="W239">
        <f>IF(V239&lt;&gt;"",NETWORKDAYS(TODAY(),V239),"")</f>
        <v/>
      </c>
      <c r="X239">
        <f>IF(AN239="Complete","Complete",IF(W239&lt;0,"Overdue",IF(W239&lt;=U239*0.2,"At Risk","On Track")))</f>
        <v/>
      </c>
    </row>
    <row r="240">
      <c r="K240">
        <f>IF(J240="v4.0",L240,IF(J240="v3.1",M240,IF(J240="Both",L240,IF(AND(L240&lt;&gt;"",M240=""),L240,M240))))</f>
        <v/>
      </c>
      <c r="W240">
        <f>IF(V240&lt;&gt;"",NETWORKDAYS(TODAY(),V240),"")</f>
        <v/>
      </c>
      <c r="X240">
        <f>IF(AN240="Complete","Complete",IF(W240&lt;0,"Overdue",IF(W240&lt;=U240*0.2,"At Risk","On Track")))</f>
        <v/>
      </c>
    </row>
    <row r="241">
      <c r="K241">
        <f>IF(J241="v4.0",L241,IF(J241="v3.1",M241,IF(J241="Both",L241,IF(AND(L241&lt;&gt;"",M241=""),L241,M241))))</f>
        <v/>
      </c>
      <c r="W241">
        <f>IF(V241&lt;&gt;"",NETWORKDAYS(TODAY(),V241),"")</f>
        <v/>
      </c>
      <c r="X241">
        <f>IF(AN241="Complete","Complete",IF(W241&lt;0,"Overdue",IF(W241&lt;=U241*0.2,"At Risk","On Track")))</f>
        <v/>
      </c>
    </row>
    <row r="242">
      <c r="K242">
        <f>IF(J242="v4.0",L242,IF(J242="v3.1",M242,IF(J242="Both",L242,IF(AND(L242&lt;&gt;"",M242=""),L242,M242))))</f>
        <v/>
      </c>
      <c r="W242">
        <f>IF(V242&lt;&gt;"",NETWORKDAYS(TODAY(),V242),"")</f>
        <v/>
      </c>
      <c r="X242">
        <f>IF(AN242="Complete","Complete",IF(W242&lt;0,"Overdue",IF(W242&lt;=U242*0.2,"At Risk","On Track")))</f>
        <v/>
      </c>
    </row>
    <row r="243">
      <c r="K243">
        <f>IF(J243="v4.0",L243,IF(J243="v3.1",M243,IF(J243="Both",L243,IF(AND(L243&lt;&gt;"",M243=""),L243,M243))))</f>
        <v/>
      </c>
      <c r="W243">
        <f>IF(V243&lt;&gt;"",NETWORKDAYS(TODAY(),V243),"")</f>
        <v/>
      </c>
      <c r="X243">
        <f>IF(AN243="Complete","Complete",IF(W243&lt;0,"Overdue",IF(W243&lt;=U243*0.2,"At Risk","On Track")))</f>
        <v/>
      </c>
    </row>
    <row r="244">
      <c r="K244">
        <f>IF(J244="v4.0",L244,IF(J244="v3.1",M244,IF(J244="Both",L244,IF(AND(L244&lt;&gt;"",M244=""),L244,M244))))</f>
        <v/>
      </c>
      <c r="W244">
        <f>IF(V244&lt;&gt;"",NETWORKDAYS(TODAY(),V244),"")</f>
        <v/>
      </c>
      <c r="X244">
        <f>IF(AN244="Complete","Complete",IF(W244&lt;0,"Overdue",IF(W244&lt;=U244*0.2,"At Risk","On Track")))</f>
        <v/>
      </c>
    </row>
    <row r="245">
      <c r="K245">
        <f>IF(J245="v4.0",L245,IF(J245="v3.1",M245,IF(J245="Both",L245,IF(AND(L245&lt;&gt;"",M245=""),L245,M245))))</f>
        <v/>
      </c>
      <c r="W245">
        <f>IF(V245&lt;&gt;"",NETWORKDAYS(TODAY(),V245),"")</f>
        <v/>
      </c>
      <c r="X245">
        <f>IF(AN245="Complete","Complete",IF(W245&lt;0,"Overdue",IF(W245&lt;=U245*0.2,"At Risk","On Track")))</f>
        <v/>
      </c>
    </row>
    <row r="246">
      <c r="K246">
        <f>IF(J246="v4.0",L246,IF(J246="v3.1",M246,IF(J246="Both",L246,IF(AND(L246&lt;&gt;"",M246=""),L246,M246))))</f>
        <v/>
      </c>
      <c r="W246">
        <f>IF(V246&lt;&gt;"",NETWORKDAYS(TODAY(),V246),"")</f>
        <v/>
      </c>
      <c r="X246">
        <f>IF(AN246="Complete","Complete",IF(W246&lt;0,"Overdue",IF(W246&lt;=U246*0.2,"At Risk","On Track")))</f>
        <v/>
      </c>
    </row>
    <row r="247">
      <c r="K247">
        <f>IF(J247="v4.0",L247,IF(J247="v3.1",M247,IF(J247="Both",L247,IF(AND(L247&lt;&gt;"",M247=""),L247,M247))))</f>
        <v/>
      </c>
      <c r="W247">
        <f>IF(V247&lt;&gt;"",NETWORKDAYS(TODAY(),V247),"")</f>
        <v/>
      </c>
      <c r="X247">
        <f>IF(AN247="Complete","Complete",IF(W247&lt;0,"Overdue",IF(W247&lt;=U247*0.2,"At Risk","On Track")))</f>
        <v/>
      </c>
    </row>
    <row r="248">
      <c r="K248">
        <f>IF(J248="v4.0",L248,IF(J248="v3.1",M248,IF(J248="Both",L248,IF(AND(L248&lt;&gt;"",M248=""),L248,M248))))</f>
        <v/>
      </c>
      <c r="W248">
        <f>IF(V248&lt;&gt;"",NETWORKDAYS(TODAY(),V248),"")</f>
        <v/>
      </c>
      <c r="X248">
        <f>IF(AN248="Complete","Complete",IF(W248&lt;0,"Overdue",IF(W248&lt;=U248*0.2,"At Risk","On Track")))</f>
        <v/>
      </c>
    </row>
    <row r="249">
      <c r="K249">
        <f>IF(J249="v4.0",L249,IF(J249="v3.1",M249,IF(J249="Both",L249,IF(AND(L249&lt;&gt;"",M249=""),L249,M249))))</f>
        <v/>
      </c>
      <c r="W249">
        <f>IF(V249&lt;&gt;"",NETWORKDAYS(TODAY(),V249),"")</f>
        <v/>
      </c>
      <c r="X249">
        <f>IF(AN249="Complete","Complete",IF(W249&lt;0,"Overdue",IF(W249&lt;=U249*0.2,"At Risk","On Track")))</f>
        <v/>
      </c>
    </row>
    <row r="250">
      <c r="K250">
        <f>IF(J250="v4.0",L250,IF(J250="v3.1",M250,IF(J250="Both",L250,IF(AND(L250&lt;&gt;"",M250=""),L250,M250))))</f>
        <v/>
      </c>
      <c r="W250">
        <f>IF(V250&lt;&gt;"",NETWORKDAYS(TODAY(),V250),"")</f>
        <v/>
      </c>
      <c r="X250">
        <f>IF(AN250="Complete","Complete",IF(W250&lt;0,"Overdue",IF(W250&lt;=U250*0.2,"At Risk","On Track")))</f>
        <v/>
      </c>
    </row>
    <row r="251">
      <c r="K251">
        <f>IF(J251="v4.0",L251,IF(J251="v3.1",M251,IF(J251="Both",L251,IF(AND(L251&lt;&gt;"",M251=""),L251,M251))))</f>
        <v/>
      </c>
      <c r="W251">
        <f>IF(V251&lt;&gt;"",NETWORKDAYS(TODAY(),V251),"")</f>
        <v/>
      </c>
      <c r="X251">
        <f>IF(AN251="Complete","Complete",IF(W251&lt;0,"Overdue",IF(W251&lt;=U251*0.2,"At Risk","On Track")))</f>
        <v/>
      </c>
    </row>
    <row r="252">
      <c r="K252">
        <f>IF(J252="v4.0",L252,IF(J252="v3.1",M252,IF(J252="Both",L252,IF(AND(L252&lt;&gt;"",M252=""),L252,M252))))</f>
        <v/>
      </c>
      <c r="W252">
        <f>IF(V252&lt;&gt;"",NETWORKDAYS(TODAY(),V252),"")</f>
        <v/>
      </c>
      <c r="X252">
        <f>IF(AN252="Complete","Complete",IF(W252&lt;0,"Overdue",IF(W252&lt;=U252*0.2,"At Risk","On Track")))</f>
        <v/>
      </c>
    </row>
    <row r="253">
      <c r="K253">
        <f>IF(J253="v4.0",L253,IF(J253="v3.1",M253,IF(J253="Both",L253,IF(AND(L253&lt;&gt;"",M253=""),L253,M253))))</f>
        <v/>
      </c>
      <c r="W253">
        <f>IF(V253&lt;&gt;"",NETWORKDAYS(TODAY(),V253),"")</f>
        <v/>
      </c>
      <c r="X253">
        <f>IF(AN253="Complete","Complete",IF(W253&lt;0,"Overdue",IF(W253&lt;=U253*0.2,"At Risk","On Track")))</f>
        <v/>
      </c>
    </row>
    <row r="254">
      <c r="K254">
        <f>IF(J254="v4.0",L254,IF(J254="v3.1",M254,IF(J254="Both",L254,IF(AND(L254&lt;&gt;"",M254=""),L254,M254))))</f>
        <v/>
      </c>
      <c r="W254">
        <f>IF(V254&lt;&gt;"",NETWORKDAYS(TODAY(),V254),"")</f>
        <v/>
      </c>
      <c r="X254">
        <f>IF(AN254="Complete","Complete",IF(W254&lt;0,"Overdue",IF(W254&lt;=U254*0.2,"At Risk","On Track")))</f>
        <v/>
      </c>
    </row>
    <row r="255">
      <c r="K255">
        <f>IF(J255="v4.0",L255,IF(J255="v3.1",M255,IF(J255="Both",L255,IF(AND(L255&lt;&gt;"",M255=""),L255,M255))))</f>
        <v/>
      </c>
      <c r="W255">
        <f>IF(V255&lt;&gt;"",NETWORKDAYS(TODAY(),V255),"")</f>
        <v/>
      </c>
      <c r="X255">
        <f>IF(AN255="Complete","Complete",IF(W255&lt;0,"Overdue",IF(W255&lt;=U255*0.2,"At Risk","On Track")))</f>
        <v/>
      </c>
    </row>
    <row r="256">
      <c r="K256">
        <f>IF(J256="v4.0",L256,IF(J256="v3.1",M256,IF(J256="Both",L256,IF(AND(L256&lt;&gt;"",M256=""),L256,M256))))</f>
        <v/>
      </c>
      <c r="W256">
        <f>IF(V256&lt;&gt;"",NETWORKDAYS(TODAY(),V256),"")</f>
        <v/>
      </c>
      <c r="X256">
        <f>IF(AN256="Complete","Complete",IF(W256&lt;0,"Overdue",IF(W256&lt;=U256*0.2,"At Risk","On Track")))</f>
        <v/>
      </c>
    </row>
    <row r="257">
      <c r="K257">
        <f>IF(J257="v4.0",L257,IF(J257="v3.1",M257,IF(J257="Both",L257,IF(AND(L257&lt;&gt;"",M257=""),L257,M257))))</f>
        <v/>
      </c>
      <c r="W257">
        <f>IF(V257&lt;&gt;"",NETWORKDAYS(TODAY(),V257),"")</f>
        <v/>
      </c>
      <c r="X257">
        <f>IF(AN257="Complete","Complete",IF(W257&lt;0,"Overdue",IF(W257&lt;=U257*0.2,"At Risk","On Track")))</f>
        <v/>
      </c>
    </row>
    <row r="258">
      <c r="K258">
        <f>IF(J258="v4.0",L258,IF(J258="v3.1",M258,IF(J258="Both",L258,IF(AND(L258&lt;&gt;"",M258=""),L258,M258))))</f>
        <v/>
      </c>
      <c r="W258">
        <f>IF(V258&lt;&gt;"",NETWORKDAYS(TODAY(),V258),"")</f>
        <v/>
      </c>
      <c r="X258">
        <f>IF(AN258="Complete","Complete",IF(W258&lt;0,"Overdue",IF(W258&lt;=U258*0.2,"At Risk","On Track")))</f>
        <v/>
      </c>
    </row>
    <row r="259">
      <c r="K259">
        <f>IF(J259="v4.0",L259,IF(J259="v3.1",M259,IF(J259="Both",L259,IF(AND(L259&lt;&gt;"",M259=""),L259,M259))))</f>
        <v/>
      </c>
      <c r="W259">
        <f>IF(V259&lt;&gt;"",NETWORKDAYS(TODAY(),V259),"")</f>
        <v/>
      </c>
      <c r="X259">
        <f>IF(AN259="Complete","Complete",IF(W259&lt;0,"Overdue",IF(W259&lt;=U259*0.2,"At Risk","On Track")))</f>
        <v/>
      </c>
    </row>
    <row r="260">
      <c r="K260">
        <f>IF(J260="v4.0",L260,IF(J260="v3.1",M260,IF(J260="Both",L260,IF(AND(L260&lt;&gt;"",M260=""),L260,M260))))</f>
        <v/>
      </c>
      <c r="W260">
        <f>IF(V260&lt;&gt;"",NETWORKDAYS(TODAY(),V260),"")</f>
        <v/>
      </c>
      <c r="X260">
        <f>IF(AN260="Complete","Complete",IF(W260&lt;0,"Overdue",IF(W260&lt;=U260*0.2,"At Risk","On Track")))</f>
        <v/>
      </c>
    </row>
    <row r="261">
      <c r="K261">
        <f>IF(J261="v4.0",L261,IF(J261="v3.1",M261,IF(J261="Both",L261,IF(AND(L261&lt;&gt;"",M261=""),L261,M261))))</f>
        <v/>
      </c>
      <c r="W261">
        <f>IF(V261&lt;&gt;"",NETWORKDAYS(TODAY(),V261),"")</f>
        <v/>
      </c>
      <c r="X261">
        <f>IF(AN261="Complete","Complete",IF(W261&lt;0,"Overdue",IF(W261&lt;=U261*0.2,"At Risk","On Track")))</f>
        <v/>
      </c>
    </row>
    <row r="262">
      <c r="K262">
        <f>IF(J262="v4.0",L262,IF(J262="v3.1",M262,IF(J262="Both",L262,IF(AND(L262&lt;&gt;"",M262=""),L262,M262))))</f>
        <v/>
      </c>
      <c r="W262">
        <f>IF(V262&lt;&gt;"",NETWORKDAYS(TODAY(),V262),"")</f>
        <v/>
      </c>
      <c r="X262">
        <f>IF(AN262="Complete","Complete",IF(W262&lt;0,"Overdue",IF(W262&lt;=U262*0.2,"At Risk","On Track")))</f>
        <v/>
      </c>
    </row>
    <row r="263">
      <c r="K263">
        <f>IF(J263="v4.0",L263,IF(J263="v3.1",M263,IF(J263="Both",L263,IF(AND(L263&lt;&gt;"",M263=""),L263,M263))))</f>
        <v/>
      </c>
      <c r="W263">
        <f>IF(V263&lt;&gt;"",NETWORKDAYS(TODAY(),V263),"")</f>
        <v/>
      </c>
      <c r="X263">
        <f>IF(AN263="Complete","Complete",IF(W263&lt;0,"Overdue",IF(W263&lt;=U263*0.2,"At Risk","On Track")))</f>
        <v/>
      </c>
    </row>
    <row r="264">
      <c r="K264">
        <f>IF(J264="v4.0",L264,IF(J264="v3.1",M264,IF(J264="Both",L264,IF(AND(L264&lt;&gt;"",M264=""),L264,M264))))</f>
        <v/>
      </c>
      <c r="W264">
        <f>IF(V264&lt;&gt;"",NETWORKDAYS(TODAY(),V264),"")</f>
        <v/>
      </c>
      <c r="X264">
        <f>IF(AN264="Complete","Complete",IF(W264&lt;0,"Overdue",IF(W264&lt;=U264*0.2,"At Risk","On Track")))</f>
        <v/>
      </c>
    </row>
    <row r="265">
      <c r="K265">
        <f>IF(J265="v4.0",L265,IF(J265="v3.1",M265,IF(J265="Both",L265,IF(AND(L265&lt;&gt;"",M265=""),L265,M265))))</f>
        <v/>
      </c>
      <c r="W265">
        <f>IF(V265&lt;&gt;"",NETWORKDAYS(TODAY(),V265),"")</f>
        <v/>
      </c>
      <c r="X265">
        <f>IF(AN265="Complete","Complete",IF(W265&lt;0,"Overdue",IF(W265&lt;=U265*0.2,"At Risk","On Track")))</f>
        <v/>
      </c>
    </row>
    <row r="266">
      <c r="K266">
        <f>IF(J266="v4.0",L266,IF(J266="v3.1",M266,IF(J266="Both",L266,IF(AND(L266&lt;&gt;"",M266=""),L266,M266))))</f>
        <v/>
      </c>
      <c r="W266">
        <f>IF(V266&lt;&gt;"",NETWORKDAYS(TODAY(),V266),"")</f>
        <v/>
      </c>
      <c r="X266">
        <f>IF(AN266="Complete","Complete",IF(W266&lt;0,"Overdue",IF(W266&lt;=U266*0.2,"At Risk","On Track")))</f>
        <v/>
      </c>
    </row>
    <row r="267">
      <c r="K267">
        <f>IF(J267="v4.0",L267,IF(J267="v3.1",M267,IF(J267="Both",L267,IF(AND(L267&lt;&gt;"",M267=""),L267,M267))))</f>
        <v/>
      </c>
      <c r="W267">
        <f>IF(V267&lt;&gt;"",NETWORKDAYS(TODAY(),V267),"")</f>
        <v/>
      </c>
      <c r="X267">
        <f>IF(AN267="Complete","Complete",IF(W267&lt;0,"Overdue",IF(W267&lt;=U267*0.2,"At Risk","On Track")))</f>
        <v/>
      </c>
    </row>
    <row r="268">
      <c r="K268">
        <f>IF(J268="v4.0",L268,IF(J268="v3.1",M268,IF(J268="Both",L268,IF(AND(L268&lt;&gt;"",M268=""),L268,M268))))</f>
        <v/>
      </c>
      <c r="W268">
        <f>IF(V268&lt;&gt;"",NETWORKDAYS(TODAY(),V268),"")</f>
        <v/>
      </c>
      <c r="X268">
        <f>IF(AN268="Complete","Complete",IF(W268&lt;0,"Overdue",IF(W268&lt;=U268*0.2,"At Risk","On Track")))</f>
        <v/>
      </c>
    </row>
    <row r="269">
      <c r="K269">
        <f>IF(J269="v4.0",L269,IF(J269="v3.1",M269,IF(J269="Both",L269,IF(AND(L269&lt;&gt;"",M269=""),L269,M269))))</f>
        <v/>
      </c>
      <c r="W269">
        <f>IF(V269&lt;&gt;"",NETWORKDAYS(TODAY(),V269),"")</f>
        <v/>
      </c>
      <c r="X269">
        <f>IF(AN269="Complete","Complete",IF(W269&lt;0,"Overdue",IF(W269&lt;=U269*0.2,"At Risk","On Track")))</f>
        <v/>
      </c>
    </row>
    <row r="270">
      <c r="K270">
        <f>IF(J270="v4.0",L270,IF(J270="v3.1",M270,IF(J270="Both",L270,IF(AND(L270&lt;&gt;"",M270=""),L270,M270))))</f>
        <v/>
      </c>
      <c r="W270">
        <f>IF(V270&lt;&gt;"",NETWORKDAYS(TODAY(),V270),"")</f>
        <v/>
      </c>
      <c r="X270">
        <f>IF(AN270="Complete","Complete",IF(W270&lt;0,"Overdue",IF(W270&lt;=U270*0.2,"At Risk","On Track")))</f>
        <v/>
      </c>
    </row>
    <row r="271">
      <c r="K271">
        <f>IF(J271="v4.0",L271,IF(J271="v3.1",M271,IF(J271="Both",L271,IF(AND(L271&lt;&gt;"",M271=""),L271,M271))))</f>
        <v/>
      </c>
      <c r="W271">
        <f>IF(V271&lt;&gt;"",NETWORKDAYS(TODAY(),V271),"")</f>
        <v/>
      </c>
      <c r="X271">
        <f>IF(AN271="Complete","Complete",IF(W271&lt;0,"Overdue",IF(W271&lt;=U271*0.2,"At Risk","On Track")))</f>
        <v/>
      </c>
    </row>
    <row r="272">
      <c r="K272">
        <f>IF(J272="v4.0",L272,IF(J272="v3.1",M272,IF(J272="Both",L272,IF(AND(L272&lt;&gt;"",M272=""),L272,M272))))</f>
        <v/>
      </c>
      <c r="W272">
        <f>IF(V272&lt;&gt;"",NETWORKDAYS(TODAY(),V272),"")</f>
        <v/>
      </c>
      <c r="X272">
        <f>IF(AN272="Complete","Complete",IF(W272&lt;0,"Overdue",IF(W272&lt;=U272*0.2,"At Risk","On Track")))</f>
        <v/>
      </c>
    </row>
    <row r="273">
      <c r="K273">
        <f>IF(J273="v4.0",L273,IF(J273="v3.1",M273,IF(J273="Both",L273,IF(AND(L273&lt;&gt;"",M273=""),L273,M273))))</f>
        <v/>
      </c>
      <c r="W273">
        <f>IF(V273&lt;&gt;"",NETWORKDAYS(TODAY(),V273),"")</f>
        <v/>
      </c>
      <c r="X273">
        <f>IF(AN273="Complete","Complete",IF(W273&lt;0,"Overdue",IF(W273&lt;=U273*0.2,"At Risk","On Track")))</f>
        <v/>
      </c>
    </row>
    <row r="274">
      <c r="K274">
        <f>IF(J274="v4.0",L274,IF(J274="v3.1",M274,IF(J274="Both",L274,IF(AND(L274&lt;&gt;"",M274=""),L274,M274))))</f>
        <v/>
      </c>
      <c r="W274">
        <f>IF(V274&lt;&gt;"",NETWORKDAYS(TODAY(),V274),"")</f>
        <v/>
      </c>
      <c r="X274">
        <f>IF(AN274="Complete","Complete",IF(W274&lt;0,"Overdue",IF(W274&lt;=U274*0.2,"At Risk","On Track")))</f>
        <v/>
      </c>
    </row>
    <row r="275">
      <c r="K275">
        <f>IF(J275="v4.0",L275,IF(J275="v3.1",M275,IF(J275="Both",L275,IF(AND(L275&lt;&gt;"",M275=""),L275,M275))))</f>
        <v/>
      </c>
      <c r="W275">
        <f>IF(V275&lt;&gt;"",NETWORKDAYS(TODAY(),V275),"")</f>
        <v/>
      </c>
      <c r="X275">
        <f>IF(AN275="Complete","Complete",IF(W275&lt;0,"Overdue",IF(W275&lt;=U275*0.2,"At Risk","On Track")))</f>
        <v/>
      </c>
    </row>
    <row r="276">
      <c r="K276">
        <f>IF(J276="v4.0",L276,IF(J276="v3.1",M276,IF(J276="Both",L276,IF(AND(L276&lt;&gt;"",M276=""),L276,M276))))</f>
        <v/>
      </c>
      <c r="W276">
        <f>IF(V276&lt;&gt;"",NETWORKDAYS(TODAY(),V276),"")</f>
        <v/>
      </c>
      <c r="X276">
        <f>IF(AN276="Complete","Complete",IF(W276&lt;0,"Overdue",IF(W276&lt;=U276*0.2,"At Risk","On Track")))</f>
        <v/>
      </c>
    </row>
    <row r="277">
      <c r="K277">
        <f>IF(J277="v4.0",L277,IF(J277="v3.1",M277,IF(J277="Both",L277,IF(AND(L277&lt;&gt;"",M277=""),L277,M277))))</f>
        <v/>
      </c>
      <c r="W277">
        <f>IF(V277&lt;&gt;"",NETWORKDAYS(TODAY(),V277),"")</f>
        <v/>
      </c>
      <c r="X277">
        <f>IF(AN277="Complete","Complete",IF(W277&lt;0,"Overdue",IF(W277&lt;=U277*0.2,"At Risk","On Track")))</f>
        <v/>
      </c>
    </row>
    <row r="278">
      <c r="K278">
        <f>IF(J278="v4.0",L278,IF(J278="v3.1",M278,IF(J278="Both",L278,IF(AND(L278&lt;&gt;"",M278=""),L278,M278))))</f>
        <v/>
      </c>
      <c r="W278">
        <f>IF(V278&lt;&gt;"",NETWORKDAYS(TODAY(),V278),"")</f>
        <v/>
      </c>
      <c r="X278">
        <f>IF(AN278="Complete","Complete",IF(W278&lt;0,"Overdue",IF(W278&lt;=U278*0.2,"At Risk","On Track")))</f>
        <v/>
      </c>
    </row>
    <row r="279">
      <c r="K279">
        <f>IF(J279="v4.0",L279,IF(J279="v3.1",M279,IF(J279="Both",L279,IF(AND(L279&lt;&gt;"",M279=""),L279,M279))))</f>
        <v/>
      </c>
      <c r="W279">
        <f>IF(V279&lt;&gt;"",NETWORKDAYS(TODAY(),V279),"")</f>
        <v/>
      </c>
      <c r="X279">
        <f>IF(AN279="Complete","Complete",IF(W279&lt;0,"Overdue",IF(W279&lt;=U279*0.2,"At Risk","On Track")))</f>
        <v/>
      </c>
    </row>
    <row r="280">
      <c r="K280">
        <f>IF(J280="v4.0",L280,IF(J280="v3.1",M280,IF(J280="Both",L280,IF(AND(L280&lt;&gt;"",M280=""),L280,M280))))</f>
        <v/>
      </c>
      <c r="W280">
        <f>IF(V280&lt;&gt;"",NETWORKDAYS(TODAY(),V280),"")</f>
        <v/>
      </c>
      <c r="X280">
        <f>IF(AN280="Complete","Complete",IF(W280&lt;0,"Overdue",IF(W280&lt;=U280*0.2,"At Risk","On Track")))</f>
        <v/>
      </c>
    </row>
    <row r="281">
      <c r="K281">
        <f>IF(J281="v4.0",L281,IF(J281="v3.1",M281,IF(J281="Both",L281,IF(AND(L281&lt;&gt;"",M281=""),L281,M281))))</f>
        <v/>
      </c>
      <c r="W281">
        <f>IF(V281&lt;&gt;"",NETWORKDAYS(TODAY(),V281),"")</f>
        <v/>
      </c>
      <c r="X281">
        <f>IF(AN281="Complete","Complete",IF(W281&lt;0,"Overdue",IF(W281&lt;=U281*0.2,"At Risk","On Track")))</f>
        <v/>
      </c>
    </row>
    <row r="282">
      <c r="K282">
        <f>IF(J282="v4.0",L282,IF(J282="v3.1",M282,IF(J282="Both",L282,IF(AND(L282&lt;&gt;"",M282=""),L282,M282))))</f>
        <v/>
      </c>
      <c r="W282">
        <f>IF(V282&lt;&gt;"",NETWORKDAYS(TODAY(),V282),"")</f>
        <v/>
      </c>
      <c r="X282">
        <f>IF(AN282="Complete","Complete",IF(W282&lt;0,"Overdue",IF(W282&lt;=U282*0.2,"At Risk","On Track")))</f>
        <v/>
      </c>
    </row>
    <row r="283">
      <c r="K283">
        <f>IF(J283="v4.0",L283,IF(J283="v3.1",M283,IF(J283="Both",L283,IF(AND(L283&lt;&gt;"",M283=""),L283,M283))))</f>
        <v/>
      </c>
      <c r="W283">
        <f>IF(V283&lt;&gt;"",NETWORKDAYS(TODAY(),V283),"")</f>
        <v/>
      </c>
      <c r="X283">
        <f>IF(AN283="Complete","Complete",IF(W283&lt;0,"Overdue",IF(W283&lt;=U283*0.2,"At Risk","On Track")))</f>
        <v/>
      </c>
    </row>
    <row r="284">
      <c r="K284">
        <f>IF(J284="v4.0",L284,IF(J284="v3.1",M284,IF(J284="Both",L284,IF(AND(L284&lt;&gt;"",M284=""),L284,M284))))</f>
        <v/>
      </c>
      <c r="W284">
        <f>IF(V284&lt;&gt;"",NETWORKDAYS(TODAY(),V284),"")</f>
        <v/>
      </c>
      <c r="X284">
        <f>IF(AN284="Complete","Complete",IF(W284&lt;0,"Overdue",IF(W284&lt;=U284*0.2,"At Risk","On Track")))</f>
        <v/>
      </c>
    </row>
    <row r="285">
      <c r="K285">
        <f>IF(J285="v4.0",L285,IF(J285="v3.1",M285,IF(J285="Both",L285,IF(AND(L285&lt;&gt;"",M285=""),L285,M285))))</f>
        <v/>
      </c>
      <c r="W285">
        <f>IF(V285&lt;&gt;"",NETWORKDAYS(TODAY(),V285),"")</f>
        <v/>
      </c>
      <c r="X285">
        <f>IF(AN285="Complete","Complete",IF(W285&lt;0,"Overdue",IF(W285&lt;=U285*0.2,"At Risk","On Track")))</f>
        <v/>
      </c>
    </row>
    <row r="286">
      <c r="K286">
        <f>IF(J286="v4.0",L286,IF(J286="v3.1",M286,IF(J286="Both",L286,IF(AND(L286&lt;&gt;"",M286=""),L286,M286))))</f>
        <v/>
      </c>
      <c r="W286">
        <f>IF(V286&lt;&gt;"",NETWORKDAYS(TODAY(),V286),"")</f>
        <v/>
      </c>
      <c r="X286">
        <f>IF(AN286="Complete","Complete",IF(W286&lt;0,"Overdue",IF(W286&lt;=U286*0.2,"At Risk","On Track")))</f>
        <v/>
      </c>
    </row>
    <row r="287">
      <c r="K287">
        <f>IF(J287="v4.0",L287,IF(J287="v3.1",M287,IF(J287="Both",L287,IF(AND(L287&lt;&gt;"",M287=""),L287,M287))))</f>
        <v/>
      </c>
      <c r="W287">
        <f>IF(V287&lt;&gt;"",NETWORKDAYS(TODAY(),V287),"")</f>
        <v/>
      </c>
      <c r="X287">
        <f>IF(AN287="Complete","Complete",IF(W287&lt;0,"Overdue",IF(W287&lt;=U287*0.2,"At Risk","On Track")))</f>
        <v/>
      </c>
    </row>
    <row r="288">
      <c r="K288">
        <f>IF(J288="v4.0",L288,IF(J288="v3.1",M288,IF(J288="Both",L288,IF(AND(L288&lt;&gt;"",M288=""),L288,M288))))</f>
        <v/>
      </c>
      <c r="W288">
        <f>IF(V288&lt;&gt;"",NETWORKDAYS(TODAY(),V288),"")</f>
        <v/>
      </c>
      <c r="X288">
        <f>IF(AN288="Complete","Complete",IF(W288&lt;0,"Overdue",IF(W288&lt;=U288*0.2,"At Risk","On Track")))</f>
        <v/>
      </c>
    </row>
    <row r="289">
      <c r="K289">
        <f>IF(J289="v4.0",L289,IF(J289="v3.1",M289,IF(J289="Both",L289,IF(AND(L289&lt;&gt;"",M289=""),L289,M289))))</f>
        <v/>
      </c>
      <c r="W289">
        <f>IF(V289&lt;&gt;"",NETWORKDAYS(TODAY(),V289),"")</f>
        <v/>
      </c>
      <c r="X289">
        <f>IF(AN289="Complete","Complete",IF(W289&lt;0,"Overdue",IF(W289&lt;=U289*0.2,"At Risk","On Track")))</f>
        <v/>
      </c>
    </row>
    <row r="290">
      <c r="K290">
        <f>IF(J290="v4.0",L290,IF(J290="v3.1",M290,IF(J290="Both",L290,IF(AND(L290&lt;&gt;"",M290=""),L290,M290))))</f>
        <v/>
      </c>
      <c r="W290">
        <f>IF(V290&lt;&gt;"",NETWORKDAYS(TODAY(),V290),"")</f>
        <v/>
      </c>
      <c r="X290">
        <f>IF(AN290="Complete","Complete",IF(W290&lt;0,"Overdue",IF(W290&lt;=U290*0.2,"At Risk","On Track")))</f>
        <v/>
      </c>
    </row>
    <row r="291">
      <c r="K291">
        <f>IF(J291="v4.0",L291,IF(J291="v3.1",M291,IF(J291="Both",L291,IF(AND(L291&lt;&gt;"",M291=""),L291,M291))))</f>
        <v/>
      </c>
      <c r="W291">
        <f>IF(V291&lt;&gt;"",NETWORKDAYS(TODAY(),V291),"")</f>
        <v/>
      </c>
      <c r="X291">
        <f>IF(AN291="Complete","Complete",IF(W291&lt;0,"Overdue",IF(W291&lt;=U291*0.2,"At Risk","On Track")))</f>
        <v/>
      </c>
    </row>
    <row r="292">
      <c r="K292">
        <f>IF(J292="v4.0",L292,IF(J292="v3.1",M292,IF(J292="Both",L292,IF(AND(L292&lt;&gt;"",M292=""),L292,M292))))</f>
        <v/>
      </c>
      <c r="W292">
        <f>IF(V292&lt;&gt;"",NETWORKDAYS(TODAY(),V292),"")</f>
        <v/>
      </c>
      <c r="X292">
        <f>IF(AN292="Complete","Complete",IF(W292&lt;0,"Overdue",IF(W292&lt;=U292*0.2,"At Risk","On Track")))</f>
        <v/>
      </c>
    </row>
    <row r="293">
      <c r="K293">
        <f>IF(J293="v4.0",L293,IF(J293="v3.1",M293,IF(J293="Both",L293,IF(AND(L293&lt;&gt;"",M293=""),L293,M293))))</f>
        <v/>
      </c>
      <c r="W293">
        <f>IF(V293&lt;&gt;"",NETWORKDAYS(TODAY(),V293),"")</f>
        <v/>
      </c>
      <c r="X293">
        <f>IF(AN293="Complete","Complete",IF(W293&lt;0,"Overdue",IF(W293&lt;=U293*0.2,"At Risk","On Track")))</f>
        <v/>
      </c>
    </row>
    <row r="294">
      <c r="K294">
        <f>IF(J294="v4.0",L294,IF(J294="v3.1",M294,IF(J294="Both",L294,IF(AND(L294&lt;&gt;"",M294=""),L294,M294))))</f>
        <v/>
      </c>
      <c r="W294">
        <f>IF(V294&lt;&gt;"",NETWORKDAYS(TODAY(),V294),"")</f>
        <v/>
      </c>
      <c r="X294">
        <f>IF(AN294="Complete","Complete",IF(W294&lt;0,"Overdue",IF(W294&lt;=U294*0.2,"At Risk","On Track")))</f>
        <v/>
      </c>
    </row>
    <row r="295">
      <c r="K295">
        <f>IF(J295="v4.0",L295,IF(J295="v3.1",M295,IF(J295="Both",L295,IF(AND(L295&lt;&gt;"",M295=""),L295,M295))))</f>
        <v/>
      </c>
      <c r="W295">
        <f>IF(V295&lt;&gt;"",NETWORKDAYS(TODAY(),V295),"")</f>
        <v/>
      </c>
      <c r="X295">
        <f>IF(AN295="Complete","Complete",IF(W295&lt;0,"Overdue",IF(W295&lt;=U295*0.2,"At Risk","On Track")))</f>
        <v/>
      </c>
    </row>
    <row r="296">
      <c r="K296">
        <f>IF(J296="v4.0",L296,IF(J296="v3.1",M296,IF(J296="Both",L296,IF(AND(L296&lt;&gt;"",M296=""),L296,M296))))</f>
        <v/>
      </c>
      <c r="W296">
        <f>IF(V296&lt;&gt;"",NETWORKDAYS(TODAY(),V296),"")</f>
        <v/>
      </c>
      <c r="X296">
        <f>IF(AN296="Complete","Complete",IF(W296&lt;0,"Overdue",IF(W296&lt;=U296*0.2,"At Risk","On Track")))</f>
        <v/>
      </c>
    </row>
    <row r="297">
      <c r="K297">
        <f>IF(J297="v4.0",L297,IF(J297="v3.1",M297,IF(J297="Both",L297,IF(AND(L297&lt;&gt;"",M297=""),L297,M297))))</f>
        <v/>
      </c>
      <c r="W297">
        <f>IF(V297&lt;&gt;"",NETWORKDAYS(TODAY(),V297),"")</f>
        <v/>
      </c>
      <c r="X297">
        <f>IF(AN297="Complete","Complete",IF(W297&lt;0,"Overdue",IF(W297&lt;=U297*0.2,"At Risk","On Track")))</f>
        <v/>
      </c>
    </row>
    <row r="298">
      <c r="K298">
        <f>IF(J298="v4.0",L298,IF(J298="v3.1",M298,IF(J298="Both",L298,IF(AND(L298&lt;&gt;"",M298=""),L298,M298))))</f>
        <v/>
      </c>
      <c r="W298">
        <f>IF(V298&lt;&gt;"",NETWORKDAYS(TODAY(),V298),"")</f>
        <v/>
      </c>
      <c r="X298">
        <f>IF(AN298="Complete","Complete",IF(W298&lt;0,"Overdue",IF(W298&lt;=U298*0.2,"At Risk","On Track")))</f>
        <v/>
      </c>
    </row>
    <row r="299">
      <c r="K299">
        <f>IF(J299="v4.0",L299,IF(J299="v3.1",M299,IF(J299="Both",L299,IF(AND(L299&lt;&gt;"",M299=""),L299,M299))))</f>
        <v/>
      </c>
      <c r="W299">
        <f>IF(V299&lt;&gt;"",NETWORKDAYS(TODAY(),V299),"")</f>
        <v/>
      </c>
      <c r="X299">
        <f>IF(AN299="Complete","Complete",IF(W299&lt;0,"Overdue",IF(W299&lt;=U299*0.2,"At Risk","On Track")))</f>
        <v/>
      </c>
    </row>
    <row r="300">
      <c r="K300">
        <f>IF(J300="v4.0",L300,IF(J300="v3.1",M300,IF(J300="Both",L300,IF(AND(L300&lt;&gt;"",M300=""),L300,M300))))</f>
        <v/>
      </c>
      <c r="W300">
        <f>IF(V300&lt;&gt;"",NETWORKDAYS(TODAY(),V300),"")</f>
        <v/>
      </c>
      <c r="X300">
        <f>IF(AN300="Complete","Complete",IF(W300&lt;0,"Overdue",IF(W300&lt;=U300*0.2,"At Risk","On Track")))</f>
        <v/>
      </c>
    </row>
    <row r="301">
      <c r="K301">
        <f>IF(J301="v4.0",L301,IF(J301="v3.1",M301,IF(J301="Both",L301,IF(AND(L301&lt;&gt;"",M301=""),L301,M301))))</f>
        <v/>
      </c>
      <c r="W301">
        <f>IF(V301&lt;&gt;"",NETWORKDAYS(TODAY(),V301),"")</f>
        <v/>
      </c>
      <c r="X301">
        <f>IF(AN301="Complete","Complete",IF(W301&lt;0,"Overdue",IF(W301&lt;=U301*0.2,"At Risk","On Track")))</f>
        <v/>
      </c>
    </row>
    <row r="302">
      <c r="K302">
        <f>IF(J302="v4.0",L302,IF(J302="v3.1",M302,IF(J302="Both",L302,IF(AND(L302&lt;&gt;"",M302=""),L302,M302))))</f>
        <v/>
      </c>
      <c r="W302">
        <f>IF(V302&lt;&gt;"",NETWORKDAYS(TODAY(),V302),"")</f>
        <v/>
      </c>
      <c r="X302">
        <f>IF(AN302="Complete","Complete",IF(W302&lt;0,"Overdue",IF(W302&lt;=U302*0.2,"At Risk","On Track")))</f>
        <v/>
      </c>
    </row>
    <row r="303">
      <c r="K303">
        <f>IF(J303="v4.0",L303,IF(J303="v3.1",M303,IF(J303="Both",L303,IF(AND(L303&lt;&gt;"",M303=""),L303,M303))))</f>
        <v/>
      </c>
      <c r="W303">
        <f>IF(V303&lt;&gt;"",NETWORKDAYS(TODAY(),V303),"")</f>
        <v/>
      </c>
      <c r="X303">
        <f>IF(AN303="Complete","Complete",IF(W303&lt;0,"Overdue",IF(W303&lt;=U303*0.2,"At Risk","On Track")))</f>
        <v/>
      </c>
    </row>
    <row r="304">
      <c r="K304">
        <f>IF(J304="v4.0",L304,IF(J304="v3.1",M304,IF(J304="Both",L304,IF(AND(L304&lt;&gt;"",M304=""),L304,M304))))</f>
        <v/>
      </c>
      <c r="W304">
        <f>IF(V304&lt;&gt;"",NETWORKDAYS(TODAY(),V304),"")</f>
        <v/>
      </c>
      <c r="X304">
        <f>IF(AN304="Complete","Complete",IF(W304&lt;0,"Overdue",IF(W304&lt;=U304*0.2,"At Risk","On Track")))</f>
        <v/>
      </c>
    </row>
    <row r="305">
      <c r="K305">
        <f>IF(J305="v4.0",L305,IF(J305="v3.1",M305,IF(J305="Both",L305,IF(AND(L305&lt;&gt;"",M305=""),L305,M305))))</f>
        <v/>
      </c>
      <c r="W305">
        <f>IF(V305&lt;&gt;"",NETWORKDAYS(TODAY(),V305),"")</f>
        <v/>
      </c>
      <c r="X305">
        <f>IF(AN305="Complete","Complete",IF(W305&lt;0,"Overdue",IF(W305&lt;=U305*0.2,"At Risk","On Track")))</f>
        <v/>
      </c>
    </row>
    <row r="306">
      <c r="K306">
        <f>IF(J306="v4.0",L306,IF(J306="v3.1",M306,IF(J306="Both",L306,IF(AND(L306&lt;&gt;"",M306=""),L306,M306))))</f>
        <v/>
      </c>
      <c r="W306">
        <f>IF(V306&lt;&gt;"",NETWORKDAYS(TODAY(),V306),"")</f>
        <v/>
      </c>
      <c r="X306">
        <f>IF(AN306="Complete","Complete",IF(W306&lt;0,"Overdue",IF(W306&lt;=U306*0.2,"At Risk","On Track")))</f>
        <v/>
      </c>
    </row>
    <row r="307">
      <c r="K307">
        <f>IF(J307="v4.0",L307,IF(J307="v3.1",M307,IF(J307="Both",L307,IF(AND(L307&lt;&gt;"",M307=""),L307,M307))))</f>
        <v/>
      </c>
      <c r="W307">
        <f>IF(V307&lt;&gt;"",NETWORKDAYS(TODAY(),V307),"")</f>
        <v/>
      </c>
      <c r="X307">
        <f>IF(AN307="Complete","Complete",IF(W307&lt;0,"Overdue",IF(W307&lt;=U307*0.2,"At Risk","On Track")))</f>
        <v/>
      </c>
    </row>
    <row r="308">
      <c r="K308">
        <f>IF(J308="v4.0",L308,IF(J308="v3.1",M308,IF(J308="Both",L308,IF(AND(L308&lt;&gt;"",M308=""),L308,M308))))</f>
        <v/>
      </c>
      <c r="W308">
        <f>IF(V308&lt;&gt;"",NETWORKDAYS(TODAY(),V308),"")</f>
        <v/>
      </c>
      <c r="X308">
        <f>IF(AN308="Complete","Complete",IF(W308&lt;0,"Overdue",IF(W308&lt;=U308*0.2,"At Risk","On Track")))</f>
        <v/>
      </c>
    </row>
    <row r="309">
      <c r="K309">
        <f>IF(J309="v4.0",L309,IF(J309="v3.1",M309,IF(J309="Both",L309,IF(AND(L309&lt;&gt;"",M309=""),L309,M309))))</f>
        <v/>
      </c>
      <c r="W309">
        <f>IF(V309&lt;&gt;"",NETWORKDAYS(TODAY(),V309),"")</f>
        <v/>
      </c>
      <c r="X309">
        <f>IF(AN309="Complete","Complete",IF(W309&lt;0,"Overdue",IF(W309&lt;=U309*0.2,"At Risk","On Track")))</f>
        <v/>
      </c>
    </row>
    <row r="310">
      <c r="K310">
        <f>IF(J310="v4.0",L310,IF(J310="v3.1",M310,IF(J310="Both",L310,IF(AND(L310&lt;&gt;"",M310=""),L310,M310))))</f>
        <v/>
      </c>
      <c r="W310">
        <f>IF(V310&lt;&gt;"",NETWORKDAYS(TODAY(),V310),"")</f>
        <v/>
      </c>
      <c r="X310">
        <f>IF(AN310="Complete","Complete",IF(W310&lt;0,"Overdue",IF(W310&lt;=U310*0.2,"At Risk","On Track")))</f>
        <v/>
      </c>
    </row>
    <row r="311">
      <c r="K311">
        <f>IF(J311="v4.0",L311,IF(J311="v3.1",M311,IF(J311="Both",L311,IF(AND(L311&lt;&gt;"",M311=""),L311,M311))))</f>
        <v/>
      </c>
      <c r="W311">
        <f>IF(V311&lt;&gt;"",NETWORKDAYS(TODAY(),V311),"")</f>
        <v/>
      </c>
      <c r="X311">
        <f>IF(AN311="Complete","Complete",IF(W311&lt;0,"Overdue",IF(W311&lt;=U311*0.2,"At Risk","On Track")))</f>
        <v/>
      </c>
    </row>
    <row r="312">
      <c r="K312">
        <f>IF(J312="v4.0",L312,IF(J312="v3.1",M312,IF(J312="Both",L312,IF(AND(L312&lt;&gt;"",M312=""),L312,M312))))</f>
        <v/>
      </c>
      <c r="W312">
        <f>IF(V312&lt;&gt;"",NETWORKDAYS(TODAY(),V312),"")</f>
        <v/>
      </c>
      <c r="X312">
        <f>IF(AN312="Complete","Complete",IF(W312&lt;0,"Overdue",IF(W312&lt;=U312*0.2,"At Risk","On Track")))</f>
        <v/>
      </c>
    </row>
    <row r="313">
      <c r="K313">
        <f>IF(J313="v4.0",L313,IF(J313="v3.1",M313,IF(J313="Both",L313,IF(AND(L313&lt;&gt;"",M313=""),L313,M313))))</f>
        <v/>
      </c>
      <c r="W313">
        <f>IF(V313&lt;&gt;"",NETWORKDAYS(TODAY(),V313),"")</f>
        <v/>
      </c>
      <c r="X313">
        <f>IF(AN313="Complete","Complete",IF(W313&lt;0,"Overdue",IF(W313&lt;=U313*0.2,"At Risk","On Track")))</f>
        <v/>
      </c>
    </row>
    <row r="314">
      <c r="K314">
        <f>IF(J314="v4.0",L314,IF(J314="v3.1",M314,IF(J314="Both",L314,IF(AND(L314&lt;&gt;"",M314=""),L314,M314))))</f>
        <v/>
      </c>
      <c r="W314">
        <f>IF(V314&lt;&gt;"",NETWORKDAYS(TODAY(),V314),"")</f>
        <v/>
      </c>
      <c r="X314">
        <f>IF(AN314="Complete","Complete",IF(W314&lt;0,"Overdue",IF(W314&lt;=U314*0.2,"At Risk","On Track")))</f>
        <v/>
      </c>
    </row>
    <row r="315">
      <c r="K315">
        <f>IF(J315="v4.0",L315,IF(J315="v3.1",M315,IF(J315="Both",L315,IF(AND(L315&lt;&gt;"",M315=""),L315,M315))))</f>
        <v/>
      </c>
      <c r="W315">
        <f>IF(V315&lt;&gt;"",NETWORKDAYS(TODAY(),V315),"")</f>
        <v/>
      </c>
      <c r="X315">
        <f>IF(AN315="Complete","Complete",IF(W315&lt;0,"Overdue",IF(W315&lt;=U315*0.2,"At Risk","On Track")))</f>
        <v/>
      </c>
    </row>
    <row r="316">
      <c r="K316">
        <f>IF(J316="v4.0",L316,IF(J316="v3.1",M316,IF(J316="Both",L316,IF(AND(L316&lt;&gt;"",M316=""),L316,M316))))</f>
        <v/>
      </c>
      <c r="W316">
        <f>IF(V316&lt;&gt;"",NETWORKDAYS(TODAY(),V316),"")</f>
        <v/>
      </c>
      <c r="X316">
        <f>IF(AN316="Complete","Complete",IF(W316&lt;0,"Overdue",IF(W316&lt;=U316*0.2,"At Risk","On Track")))</f>
        <v/>
      </c>
    </row>
    <row r="317">
      <c r="K317">
        <f>IF(J317="v4.0",L317,IF(J317="v3.1",M317,IF(J317="Both",L317,IF(AND(L317&lt;&gt;"",M317=""),L317,M317))))</f>
        <v/>
      </c>
      <c r="W317">
        <f>IF(V317&lt;&gt;"",NETWORKDAYS(TODAY(),V317),"")</f>
        <v/>
      </c>
      <c r="X317">
        <f>IF(AN317="Complete","Complete",IF(W317&lt;0,"Overdue",IF(W317&lt;=U317*0.2,"At Risk","On Track")))</f>
        <v/>
      </c>
    </row>
    <row r="318">
      <c r="K318">
        <f>IF(J318="v4.0",L318,IF(J318="v3.1",M318,IF(J318="Both",L318,IF(AND(L318&lt;&gt;"",M318=""),L318,M318))))</f>
        <v/>
      </c>
      <c r="W318">
        <f>IF(V318&lt;&gt;"",NETWORKDAYS(TODAY(),V318),"")</f>
        <v/>
      </c>
      <c r="X318">
        <f>IF(AN318="Complete","Complete",IF(W318&lt;0,"Overdue",IF(W318&lt;=U318*0.2,"At Risk","On Track")))</f>
        <v/>
      </c>
    </row>
    <row r="319">
      <c r="K319">
        <f>IF(J319="v4.0",L319,IF(J319="v3.1",M319,IF(J319="Both",L319,IF(AND(L319&lt;&gt;"",M319=""),L319,M319))))</f>
        <v/>
      </c>
      <c r="W319">
        <f>IF(V319&lt;&gt;"",NETWORKDAYS(TODAY(),V319),"")</f>
        <v/>
      </c>
      <c r="X319">
        <f>IF(AN319="Complete","Complete",IF(W319&lt;0,"Overdue",IF(W319&lt;=U319*0.2,"At Risk","On Track")))</f>
        <v/>
      </c>
    </row>
    <row r="320">
      <c r="K320">
        <f>IF(J320="v4.0",L320,IF(J320="v3.1",M320,IF(J320="Both",L320,IF(AND(L320&lt;&gt;"",M320=""),L320,M320))))</f>
        <v/>
      </c>
      <c r="W320">
        <f>IF(V320&lt;&gt;"",NETWORKDAYS(TODAY(),V320),"")</f>
        <v/>
      </c>
      <c r="X320">
        <f>IF(AN320="Complete","Complete",IF(W320&lt;0,"Overdue",IF(W320&lt;=U320*0.2,"At Risk","On Track")))</f>
        <v/>
      </c>
    </row>
    <row r="321">
      <c r="K321">
        <f>IF(J321="v4.0",L321,IF(J321="v3.1",M321,IF(J321="Both",L321,IF(AND(L321&lt;&gt;"",M321=""),L321,M321))))</f>
        <v/>
      </c>
      <c r="W321">
        <f>IF(V321&lt;&gt;"",NETWORKDAYS(TODAY(),V321),"")</f>
        <v/>
      </c>
      <c r="X321">
        <f>IF(AN321="Complete","Complete",IF(W321&lt;0,"Overdue",IF(W321&lt;=U321*0.2,"At Risk","On Track")))</f>
        <v/>
      </c>
    </row>
    <row r="322">
      <c r="K322">
        <f>IF(J322="v4.0",L322,IF(J322="v3.1",M322,IF(J322="Both",L322,IF(AND(L322&lt;&gt;"",M322=""),L322,M322))))</f>
        <v/>
      </c>
      <c r="W322">
        <f>IF(V322&lt;&gt;"",NETWORKDAYS(TODAY(),V322),"")</f>
        <v/>
      </c>
      <c r="X322">
        <f>IF(AN322="Complete","Complete",IF(W322&lt;0,"Overdue",IF(W322&lt;=U322*0.2,"At Risk","On Track")))</f>
        <v/>
      </c>
    </row>
    <row r="323">
      <c r="K323">
        <f>IF(J323="v4.0",L323,IF(J323="v3.1",M323,IF(J323="Both",L323,IF(AND(L323&lt;&gt;"",M323=""),L323,M323))))</f>
        <v/>
      </c>
      <c r="W323">
        <f>IF(V323&lt;&gt;"",NETWORKDAYS(TODAY(),V323),"")</f>
        <v/>
      </c>
      <c r="X323">
        <f>IF(AN323="Complete","Complete",IF(W323&lt;0,"Overdue",IF(W323&lt;=U323*0.2,"At Risk","On Track")))</f>
        <v/>
      </c>
    </row>
    <row r="324">
      <c r="K324">
        <f>IF(J324="v4.0",L324,IF(J324="v3.1",M324,IF(J324="Both",L324,IF(AND(L324&lt;&gt;"",M324=""),L324,M324))))</f>
        <v/>
      </c>
      <c r="W324">
        <f>IF(V324&lt;&gt;"",NETWORKDAYS(TODAY(),V324),"")</f>
        <v/>
      </c>
      <c r="X324">
        <f>IF(AN324="Complete","Complete",IF(W324&lt;0,"Overdue",IF(W324&lt;=U324*0.2,"At Risk","On Track")))</f>
        <v/>
      </c>
    </row>
    <row r="325">
      <c r="K325">
        <f>IF(J325="v4.0",L325,IF(J325="v3.1",M325,IF(J325="Both",L325,IF(AND(L325&lt;&gt;"",M325=""),L325,M325))))</f>
        <v/>
      </c>
      <c r="W325">
        <f>IF(V325&lt;&gt;"",NETWORKDAYS(TODAY(),V325),"")</f>
        <v/>
      </c>
      <c r="X325">
        <f>IF(AN325="Complete","Complete",IF(W325&lt;0,"Overdue",IF(W325&lt;=U325*0.2,"At Risk","On Track")))</f>
        <v/>
      </c>
    </row>
    <row r="326">
      <c r="K326">
        <f>IF(J326="v4.0",L326,IF(J326="v3.1",M326,IF(J326="Both",L326,IF(AND(L326&lt;&gt;"",M326=""),L326,M326))))</f>
        <v/>
      </c>
      <c r="W326">
        <f>IF(V326&lt;&gt;"",NETWORKDAYS(TODAY(),V326),"")</f>
        <v/>
      </c>
      <c r="X326">
        <f>IF(AN326="Complete","Complete",IF(W326&lt;0,"Overdue",IF(W326&lt;=U326*0.2,"At Risk","On Track")))</f>
        <v/>
      </c>
    </row>
    <row r="327">
      <c r="K327">
        <f>IF(J327="v4.0",L327,IF(J327="v3.1",M327,IF(J327="Both",L327,IF(AND(L327&lt;&gt;"",M327=""),L327,M327))))</f>
        <v/>
      </c>
      <c r="W327">
        <f>IF(V327&lt;&gt;"",NETWORKDAYS(TODAY(),V327),"")</f>
        <v/>
      </c>
      <c r="X327">
        <f>IF(AN327="Complete","Complete",IF(W327&lt;0,"Overdue",IF(W327&lt;=U327*0.2,"At Risk","On Track")))</f>
        <v/>
      </c>
    </row>
    <row r="328">
      <c r="K328">
        <f>IF(J328="v4.0",L328,IF(J328="v3.1",M328,IF(J328="Both",L328,IF(AND(L328&lt;&gt;"",M328=""),L328,M328))))</f>
        <v/>
      </c>
      <c r="W328">
        <f>IF(V328&lt;&gt;"",NETWORKDAYS(TODAY(),V328),"")</f>
        <v/>
      </c>
      <c r="X328">
        <f>IF(AN328="Complete","Complete",IF(W328&lt;0,"Overdue",IF(W328&lt;=U328*0.2,"At Risk","On Track")))</f>
        <v/>
      </c>
    </row>
    <row r="329">
      <c r="K329">
        <f>IF(J329="v4.0",L329,IF(J329="v3.1",M329,IF(J329="Both",L329,IF(AND(L329&lt;&gt;"",M329=""),L329,M329))))</f>
        <v/>
      </c>
      <c r="W329">
        <f>IF(V329&lt;&gt;"",NETWORKDAYS(TODAY(),V329),"")</f>
        <v/>
      </c>
      <c r="X329">
        <f>IF(AN329="Complete","Complete",IF(W329&lt;0,"Overdue",IF(W329&lt;=U329*0.2,"At Risk","On Track")))</f>
        <v/>
      </c>
    </row>
    <row r="330">
      <c r="K330">
        <f>IF(J330="v4.0",L330,IF(J330="v3.1",M330,IF(J330="Both",L330,IF(AND(L330&lt;&gt;"",M330=""),L330,M330))))</f>
        <v/>
      </c>
      <c r="W330">
        <f>IF(V330&lt;&gt;"",NETWORKDAYS(TODAY(),V330),"")</f>
        <v/>
      </c>
      <c r="X330">
        <f>IF(AN330="Complete","Complete",IF(W330&lt;0,"Overdue",IF(W330&lt;=U330*0.2,"At Risk","On Track")))</f>
        <v/>
      </c>
    </row>
    <row r="331">
      <c r="K331">
        <f>IF(J331="v4.0",L331,IF(J331="v3.1",M331,IF(J331="Both",L331,IF(AND(L331&lt;&gt;"",M331=""),L331,M331))))</f>
        <v/>
      </c>
      <c r="W331">
        <f>IF(V331&lt;&gt;"",NETWORKDAYS(TODAY(),V331),"")</f>
        <v/>
      </c>
      <c r="X331">
        <f>IF(AN331="Complete","Complete",IF(W331&lt;0,"Overdue",IF(W331&lt;=U331*0.2,"At Risk","On Track")))</f>
        <v/>
      </c>
    </row>
    <row r="332">
      <c r="K332">
        <f>IF(J332="v4.0",L332,IF(J332="v3.1",M332,IF(J332="Both",L332,IF(AND(L332&lt;&gt;"",M332=""),L332,M332))))</f>
        <v/>
      </c>
      <c r="W332">
        <f>IF(V332&lt;&gt;"",NETWORKDAYS(TODAY(),V332),"")</f>
        <v/>
      </c>
      <c r="X332">
        <f>IF(AN332="Complete","Complete",IF(W332&lt;0,"Overdue",IF(W332&lt;=U332*0.2,"At Risk","On Track")))</f>
        <v/>
      </c>
    </row>
    <row r="333">
      <c r="K333">
        <f>IF(J333="v4.0",L333,IF(J333="v3.1",M333,IF(J333="Both",L333,IF(AND(L333&lt;&gt;"",M333=""),L333,M333))))</f>
        <v/>
      </c>
      <c r="W333">
        <f>IF(V333&lt;&gt;"",NETWORKDAYS(TODAY(),V333),"")</f>
        <v/>
      </c>
      <c r="X333">
        <f>IF(AN333="Complete","Complete",IF(W333&lt;0,"Overdue",IF(W333&lt;=U333*0.2,"At Risk","On Track")))</f>
        <v/>
      </c>
    </row>
    <row r="334">
      <c r="K334">
        <f>IF(J334="v4.0",L334,IF(J334="v3.1",M334,IF(J334="Both",L334,IF(AND(L334&lt;&gt;"",M334=""),L334,M334))))</f>
        <v/>
      </c>
      <c r="W334">
        <f>IF(V334&lt;&gt;"",NETWORKDAYS(TODAY(),V334),"")</f>
        <v/>
      </c>
      <c r="X334">
        <f>IF(AN334="Complete","Complete",IF(W334&lt;0,"Overdue",IF(W334&lt;=U334*0.2,"At Risk","On Track")))</f>
        <v/>
      </c>
    </row>
    <row r="335">
      <c r="K335">
        <f>IF(J335="v4.0",L335,IF(J335="v3.1",M335,IF(J335="Both",L335,IF(AND(L335&lt;&gt;"",M335=""),L335,M335))))</f>
        <v/>
      </c>
      <c r="W335">
        <f>IF(V335&lt;&gt;"",NETWORKDAYS(TODAY(),V335),"")</f>
        <v/>
      </c>
      <c r="X335">
        <f>IF(AN335="Complete","Complete",IF(W335&lt;0,"Overdue",IF(W335&lt;=U335*0.2,"At Risk","On Track")))</f>
        <v/>
      </c>
    </row>
    <row r="336">
      <c r="K336">
        <f>IF(J336="v4.0",L336,IF(J336="v3.1",M336,IF(J336="Both",L336,IF(AND(L336&lt;&gt;"",M336=""),L336,M336))))</f>
        <v/>
      </c>
      <c r="W336">
        <f>IF(V336&lt;&gt;"",NETWORKDAYS(TODAY(),V336),"")</f>
        <v/>
      </c>
      <c r="X336">
        <f>IF(AN336="Complete","Complete",IF(W336&lt;0,"Overdue",IF(W336&lt;=U336*0.2,"At Risk","On Track")))</f>
        <v/>
      </c>
    </row>
    <row r="337">
      <c r="K337">
        <f>IF(J337="v4.0",L337,IF(J337="v3.1",M337,IF(J337="Both",L337,IF(AND(L337&lt;&gt;"",M337=""),L337,M337))))</f>
        <v/>
      </c>
      <c r="W337">
        <f>IF(V337&lt;&gt;"",NETWORKDAYS(TODAY(),V337),"")</f>
        <v/>
      </c>
      <c r="X337">
        <f>IF(AN337="Complete","Complete",IF(W337&lt;0,"Overdue",IF(W337&lt;=U337*0.2,"At Risk","On Track")))</f>
        <v/>
      </c>
    </row>
    <row r="338">
      <c r="K338">
        <f>IF(J338="v4.0",L338,IF(J338="v3.1",M338,IF(J338="Both",L338,IF(AND(L338&lt;&gt;"",M338=""),L338,M338))))</f>
        <v/>
      </c>
      <c r="W338">
        <f>IF(V338&lt;&gt;"",NETWORKDAYS(TODAY(),V338),"")</f>
        <v/>
      </c>
      <c r="X338">
        <f>IF(AN338="Complete","Complete",IF(W338&lt;0,"Overdue",IF(W338&lt;=U338*0.2,"At Risk","On Track")))</f>
        <v/>
      </c>
    </row>
    <row r="339">
      <c r="K339">
        <f>IF(J339="v4.0",L339,IF(J339="v3.1",M339,IF(J339="Both",L339,IF(AND(L339&lt;&gt;"",M339=""),L339,M339))))</f>
        <v/>
      </c>
      <c r="W339">
        <f>IF(V339&lt;&gt;"",NETWORKDAYS(TODAY(),V339),"")</f>
        <v/>
      </c>
      <c r="X339">
        <f>IF(AN339="Complete","Complete",IF(W339&lt;0,"Overdue",IF(W339&lt;=U339*0.2,"At Risk","On Track")))</f>
        <v/>
      </c>
    </row>
    <row r="340">
      <c r="K340">
        <f>IF(J340="v4.0",L340,IF(J340="v3.1",M340,IF(J340="Both",L340,IF(AND(L340&lt;&gt;"",M340=""),L340,M340))))</f>
        <v/>
      </c>
      <c r="W340">
        <f>IF(V340&lt;&gt;"",NETWORKDAYS(TODAY(),V340),"")</f>
        <v/>
      </c>
      <c r="X340">
        <f>IF(AN340="Complete","Complete",IF(W340&lt;0,"Overdue",IF(W340&lt;=U340*0.2,"At Risk","On Track")))</f>
        <v/>
      </c>
    </row>
    <row r="341">
      <c r="K341">
        <f>IF(J341="v4.0",L341,IF(J341="v3.1",M341,IF(J341="Both",L341,IF(AND(L341&lt;&gt;"",M341=""),L341,M341))))</f>
        <v/>
      </c>
      <c r="W341">
        <f>IF(V341&lt;&gt;"",NETWORKDAYS(TODAY(),V341),"")</f>
        <v/>
      </c>
      <c r="X341">
        <f>IF(AN341="Complete","Complete",IF(W341&lt;0,"Overdue",IF(W341&lt;=U341*0.2,"At Risk","On Track")))</f>
        <v/>
      </c>
    </row>
    <row r="342">
      <c r="K342">
        <f>IF(J342="v4.0",L342,IF(J342="v3.1",M342,IF(J342="Both",L342,IF(AND(L342&lt;&gt;"",M342=""),L342,M342))))</f>
        <v/>
      </c>
      <c r="W342">
        <f>IF(V342&lt;&gt;"",NETWORKDAYS(TODAY(),V342),"")</f>
        <v/>
      </c>
      <c r="X342">
        <f>IF(AN342="Complete","Complete",IF(W342&lt;0,"Overdue",IF(W342&lt;=U342*0.2,"At Risk","On Track")))</f>
        <v/>
      </c>
    </row>
    <row r="343">
      <c r="K343">
        <f>IF(J343="v4.0",L343,IF(J343="v3.1",M343,IF(J343="Both",L343,IF(AND(L343&lt;&gt;"",M343=""),L343,M343))))</f>
        <v/>
      </c>
      <c r="W343">
        <f>IF(V343&lt;&gt;"",NETWORKDAYS(TODAY(),V343),"")</f>
        <v/>
      </c>
      <c r="X343">
        <f>IF(AN343="Complete","Complete",IF(W343&lt;0,"Overdue",IF(W343&lt;=U343*0.2,"At Risk","On Track")))</f>
        <v/>
      </c>
    </row>
    <row r="344">
      <c r="K344">
        <f>IF(J344="v4.0",L344,IF(J344="v3.1",M344,IF(J344="Both",L344,IF(AND(L344&lt;&gt;"",M344=""),L344,M344))))</f>
        <v/>
      </c>
      <c r="W344">
        <f>IF(V344&lt;&gt;"",NETWORKDAYS(TODAY(),V344),"")</f>
        <v/>
      </c>
      <c r="X344">
        <f>IF(AN344="Complete","Complete",IF(W344&lt;0,"Overdue",IF(W344&lt;=U344*0.2,"At Risk","On Track")))</f>
        <v/>
      </c>
    </row>
    <row r="345">
      <c r="K345">
        <f>IF(J345="v4.0",L345,IF(J345="v3.1",M345,IF(J345="Both",L345,IF(AND(L345&lt;&gt;"",M345=""),L345,M345))))</f>
        <v/>
      </c>
      <c r="W345">
        <f>IF(V345&lt;&gt;"",NETWORKDAYS(TODAY(),V345),"")</f>
        <v/>
      </c>
      <c r="X345">
        <f>IF(AN345="Complete","Complete",IF(W345&lt;0,"Overdue",IF(W345&lt;=U345*0.2,"At Risk","On Track")))</f>
        <v/>
      </c>
    </row>
    <row r="346">
      <c r="K346">
        <f>IF(J346="v4.0",L346,IF(J346="v3.1",M346,IF(J346="Both",L346,IF(AND(L346&lt;&gt;"",M346=""),L346,M346))))</f>
        <v/>
      </c>
      <c r="W346">
        <f>IF(V346&lt;&gt;"",NETWORKDAYS(TODAY(),V346),"")</f>
        <v/>
      </c>
      <c r="X346">
        <f>IF(AN346="Complete","Complete",IF(W346&lt;0,"Overdue",IF(W346&lt;=U346*0.2,"At Risk","On Track")))</f>
        <v/>
      </c>
    </row>
    <row r="347">
      <c r="K347">
        <f>IF(J347="v4.0",L347,IF(J347="v3.1",M347,IF(J347="Both",L347,IF(AND(L347&lt;&gt;"",M347=""),L347,M347))))</f>
        <v/>
      </c>
      <c r="W347">
        <f>IF(V347&lt;&gt;"",NETWORKDAYS(TODAY(),V347),"")</f>
        <v/>
      </c>
      <c r="X347">
        <f>IF(AN347="Complete","Complete",IF(W347&lt;0,"Overdue",IF(W347&lt;=U347*0.2,"At Risk","On Track")))</f>
        <v/>
      </c>
    </row>
    <row r="348">
      <c r="K348">
        <f>IF(J348="v4.0",L348,IF(J348="v3.1",M348,IF(J348="Both",L348,IF(AND(L348&lt;&gt;"",M348=""),L348,M348))))</f>
        <v/>
      </c>
      <c r="W348">
        <f>IF(V348&lt;&gt;"",NETWORKDAYS(TODAY(),V348),"")</f>
        <v/>
      </c>
      <c r="X348">
        <f>IF(AN348="Complete","Complete",IF(W348&lt;0,"Overdue",IF(W348&lt;=U348*0.2,"At Risk","On Track")))</f>
        <v/>
      </c>
    </row>
    <row r="349">
      <c r="K349">
        <f>IF(J349="v4.0",L349,IF(J349="v3.1",M349,IF(J349="Both",L349,IF(AND(L349&lt;&gt;"",M349=""),L349,M349))))</f>
        <v/>
      </c>
      <c r="W349">
        <f>IF(V349&lt;&gt;"",NETWORKDAYS(TODAY(),V349),"")</f>
        <v/>
      </c>
      <c r="X349">
        <f>IF(AN349="Complete","Complete",IF(W349&lt;0,"Overdue",IF(W349&lt;=U349*0.2,"At Risk","On Track")))</f>
        <v/>
      </c>
    </row>
    <row r="350">
      <c r="K350">
        <f>IF(J350="v4.0",L350,IF(J350="v3.1",M350,IF(J350="Both",L350,IF(AND(L350&lt;&gt;"",M350=""),L350,M350))))</f>
        <v/>
      </c>
      <c r="W350">
        <f>IF(V350&lt;&gt;"",NETWORKDAYS(TODAY(),V350),"")</f>
        <v/>
      </c>
      <c r="X350">
        <f>IF(AN350="Complete","Complete",IF(W350&lt;0,"Overdue",IF(W350&lt;=U350*0.2,"At Risk","On Track")))</f>
        <v/>
      </c>
    </row>
    <row r="351">
      <c r="K351">
        <f>IF(J351="v4.0",L351,IF(J351="v3.1",M351,IF(J351="Both",L351,IF(AND(L351&lt;&gt;"",M351=""),L351,M351))))</f>
        <v/>
      </c>
      <c r="W351">
        <f>IF(V351&lt;&gt;"",NETWORKDAYS(TODAY(),V351),"")</f>
        <v/>
      </c>
      <c r="X351">
        <f>IF(AN351="Complete","Complete",IF(W351&lt;0,"Overdue",IF(W351&lt;=U351*0.2,"At Risk","On Track")))</f>
        <v/>
      </c>
    </row>
    <row r="352">
      <c r="K352">
        <f>IF(J352="v4.0",L352,IF(J352="v3.1",M352,IF(J352="Both",L352,IF(AND(L352&lt;&gt;"",M352=""),L352,M352))))</f>
        <v/>
      </c>
      <c r="W352">
        <f>IF(V352&lt;&gt;"",NETWORKDAYS(TODAY(),V352),"")</f>
        <v/>
      </c>
      <c r="X352">
        <f>IF(AN352="Complete","Complete",IF(W352&lt;0,"Overdue",IF(W352&lt;=U352*0.2,"At Risk","On Track")))</f>
        <v/>
      </c>
    </row>
    <row r="353">
      <c r="K353">
        <f>IF(J353="v4.0",L353,IF(J353="v3.1",M353,IF(J353="Both",L353,IF(AND(L353&lt;&gt;"",M353=""),L353,M353))))</f>
        <v/>
      </c>
      <c r="W353">
        <f>IF(V353&lt;&gt;"",NETWORKDAYS(TODAY(),V353),"")</f>
        <v/>
      </c>
      <c r="X353">
        <f>IF(AN353="Complete","Complete",IF(W353&lt;0,"Overdue",IF(W353&lt;=U353*0.2,"At Risk","On Track")))</f>
        <v/>
      </c>
    </row>
    <row r="354">
      <c r="K354">
        <f>IF(J354="v4.0",L354,IF(J354="v3.1",M354,IF(J354="Both",L354,IF(AND(L354&lt;&gt;"",M354=""),L354,M354))))</f>
        <v/>
      </c>
      <c r="W354">
        <f>IF(V354&lt;&gt;"",NETWORKDAYS(TODAY(),V354),"")</f>
        <v/>
      </c>
      <c r="X354">
        <f>IF(AN354="Complete","Complete",IF(W354&lt;0,"Overdue",IF(W354&lt;=U354*0.2,"At Risk","On Track")))</f>
        <v/>
      </c>
    </row>
    <row r="355">
      <c r="K355">
        <f>IF(J355="v4.0",L355,IF(J355="v3.1",M355,IF(J355="Both",L355,IF(AND(L355&lt;&gt;"",M355=""),L355,M355))))</f>
        <v/>
      </c>
      <c r="W355">
        <f>IF(V355&lt;&gt;"",NETWORKDAYS(TODAY(),V355),"")</f>
        <v/>
      </c>
      <c r="X355">
        <f>IF(AN355="Complete","Complete",IF(W355&lt;0,"Overdue",IF(W355&lt;=U355*0.2,"At Risk","On Track")))</f>
        <v/>
      </c>
    </row>
    <row r="356">
      <c r="K356">
        <f>IF(J356="v4.0",L356,IF(J356="v3.1",M356,IF(J356="Both",L356,IF(AND(L356&lt;&gt;"",M356=""),L356,M356))))</f>
        <v/>
      </c>
      <c r="W356">
        <f>IF(V356&lt;&gt;"",NETWORKDAYS(TODAY(),V356),"")</f>
        <v/>
      </c>
      <c r="X356">
        <f>IF(AN356="Complete","Complete",IF(W356&lt;0,"Overdue",IF(W356&lt;=U356*0.2,"At Risk","On Track")))</f>
        <v/>
      </c>
    </row>
    <row r="357">
      <c r="K357">
        <f>IF(J357="v4.0",L357,IF(J357="v3.1",M357,IF(J357="Both",L357,IF(AND(L357&lt;&gt;"",M357=""),L357,M357))))</f>
        <v/>
      </c>
      <c r="W357">
        <f>IF(V357&lt;&gt;"",NETWORKDAYS(TODAY(),V357),"")</f>
        <v/>
      </c>
      <c r="X357">
        <f>IF(AN357="Complete","Complete",IF(W357&lt;0,"Overdue",IF(W357&lt;=U357*0.2,"At Risk","On Track")))</f>
        <v/>
      </c>
    </row>
    <row r="358">
      <c r="K358">
        <f>IF(J358="v4.0",L358,IF(J358="v3.1",M358,IF(J358="Both",L358,IF(AND(L358&lt;&gt;"",M358=""),L358,M358))))</f>
        <v/>
      </c>
      <c r="W358">
        <f>IF(V358&lt;&gt;"",NETWORKDAYS(TODAY(),V358),"")</f>
        <v/>
      </c>
      <c r="X358">
        <f>IF(AN358="Complete","Complete",IF(W358&lt;0,"Overdue",IF(W358&lt;=U358*0.2,"At Risk","On Track")))</f>
        <v/>
      </c>
    </row>
    <row r="359">
      <c r="K359">
        <f>IF(J359="v4.0",L359,IF(J359="v3.1",M359,IF(J359="Both",L359,IF(AND(L359&lt;&gt;"",M359=""),L359,M359))))</f>
        <v/>
      </c>
      <c r="W359">
        <f>IF(V359&lt;&gt;"",NETWORKDAYS(TODAY(),V359),"")</f>
        <v/>
      </c>
      <c r="X359">
        <f>IF(AN359="Complete","Complete",IF(W359&lt;0,"Overdue",IF(W359&lt;=U359*0.2,"At Risk","On Track")))</f>
        <v/>
      </c>
    </row>
    <row r="360">
      <c r="K360">
        <f>IF(J360="v4.0",L360,IF(J360="v3.1",M360,IF(J360="Both",L360,IF(AND(L360&lt;&gt;"",M360=""),L360,M360))))</f>
        <v/>
      </c>
      <c r="W360">
        <f>IF(V360&lt;&gt;"",NETWORKDAYS(TODAY(),V360),"")</f>
        <v/>
      </c>
      <c r="X360">
        <f>IF(AN360="Complete","Complete",IF(W360&lt;0,"Overdue",IF(W360&lt;=U360*0.2,"At Risk","On Track")))</f>
        <v/>
      </c>
    </row>
    <row r="361">
      <c r="K361">
        <f>IF(J361="v4.0",L361,IF(J361="v3.1",M361,IF(J361="Both",L361,IF(AND(L361&lt;&gt;"",M361=""),L361,M361))))</f>
        <v/>
      </c>
      <c r="W361">
        <f>IF(V361&lt;&gt;"",NETWORKDAYS(TODAY(),V361),"")</f>
        <v/>
      </c>
      <c r="X361">
        <f>IF(AN361="Complete","Complete",IF(W361&lt;0,"Overdue",IF(W361&lt;=U361*0.2,"At Risk","On Track")))</f>
        <v/>
      </c>
    </row>
    <row r="362">
      <c r="K362">
        <f>IF(J362="v4.0",L362,IF(J362="v3.1",M362,IF(J362="Both",L362,IF(AND(L362&lt;&gt;"",M362=""),L362,M362))))</f>
        <v/>
      </c>
      <c r="W362">
        <f>IF(V362&lt;&gt;"",NETWORKDAYS(TODAY(),V362),"")</f>
        <v/>
      </c>
      <c r="X362">
        <f>IF(AN362="Complete","Complete",IF(W362&lt;0,"Overdue",IF(W362&lt;=U362*0.2,"At Risk","On Track")))</f>
        <v/>
      </c>
    </row>
    <row r="363">
      <c r="K363">
        <f>IF(J363="v4.0",L363,IF(J363="v3.1",M363,IF(J363="Both",L363,IF(AND(L363&lt;&gt;"",M363=""),L363,M363))))</f>
        <v/>
      </c>
      <c r="W363">
        <f>IF(V363&lt;&gt;"",NETWORKDAYS(TODAY(),V363),"")</f>
        <v/>
      </c>
      <c r="X363">
        <f>IF(AN363="Complete","Complete",IF(W363&lt;0,"Overdue",IF(W363&lt;=U363*0.2,"At Risk","On Track")))</f>
        <v/>
      </c>
    </row>
    <row r="364">
      <c r="K364">
        <f>IF(J364="v4.0",L364,IF(J364="v3.1",M364,IF(J364="Both",L364,IF(AND(L364&lt;&gt;"",M364=""),L364,M364))))</f>
        <v/>
      </c>
      <c r="W364">
        <f>IF(V364&lt;&gt;"",NETWORKDAYS(TODAY(),V364),"")</f>
        <v/>
      </c>
      <c r="X364">
        <f>IF(AN364="Complete","Complete",IF(W364&lt;0,"Overdue",IF(W364&lt;=U364*0.2,"At Risk","On Track")))</f>
        <v/>
      </c>
    </row>
    <row r="365">
      <c r="K365">
        <f>IF(J365="v4.0",L365,IF(J365="v3.1",M365,IF(J365="Both",L365,IF(AND(L365&lt;&gt;"",M365=""),L365,M365))))</f>
        <v/>
      </c>
      <c r="W365">
        <f>IF(V365&lt;&gt;"",NETWORKDAYS(TODAY(),V365),"")</f>
        <v/>
      </c>
      <c r="X365">
        <f>IF(AN365="Complete","Complete",IF(W365&lt;0,"Overdue",IF(W365&lt;=U365*0.2,"At Risk","On Track")))</f>
        <v/>
      </c>
    </row>
    <row r="366">
      <c r="K366">
        <f>IF(J366="v4.0",L366,IF(J366="v3.1",M366,IF(J366="Both",L366,IF(AND(L366&lt;&gt;"",M366=""),L366,M366))))</f>
        <v/>
      </c>
      <c r="W366">
        <f>IF(V366&lt;&gt;"",NETWORKDAYS(TODAY(),V366),"")</f>
        <v/>
      </c>
      <c r="X366">
        <f>IF(AN366="Complete","Complete",IF(W366&lt;0,"Overdue",IF(W366&lt;=U366*0.2,"At Risk","On Track")))</f>
        <v/>
      </c>
    </row>
    <row r="367">
      <c r="K367">
        <f>IF(J367="v4.0",L367,IF(J367="v3.1",M367,IF(J367="Both",L367,IF(AND(L367&lt;&gt;"",M367=""),L367,M367))))</f>
        <v/>
      </c>
      <c r="W367">
        <f>IF(V367&lt;&gt;"",NETWORKDAYS(TODAY(),V367),"")</f>
        <v/>
      </c>
      <c r="X367">
        <f>IF(AN367="Complete","Complete",IF(W367&lt;0,"Overdue",IF(W367&lt;=U367*0.2,"At Risk","On Track")))</f>
        <v/>
      </c>
    </row>
    <row r="368">
      <c r="K368">
        <f>IF(J368="v4.0",L368,IF(J368="v3.1",M368,IF(J368="Both",L368,IF(AND(L368&lt;&gt;"",M368=""),L368,M368))))</f>
        <v/>
      </c>
      <c r="W368">
        <f>IF(V368&lt;&gt;"",NETWORKDAYS(TODAY(),V368),"")</f>
        <v/>
      </c>
      <c r="X368">
        <f>IF(AN368="Complete","Complete",IF(W368&lt;0,"Overdue",IF(W368&lt;=U368*0.2,"At Risk","On Track")))</f>
        <v/>
      </c>
    </row>
    <row r="369">
      <c r="K369">
        <f>IF(J369="v4.0",L369,IF(J369="v3.1",M369,IF(J369="Both",L369,IF(AND(L369&lt;&gt;"",M369=""),L369,M369))))</f>
        <v/>
      </c>
      <c r="W369">
        <f>IF(V369&lt;&gt;"",NETWORKDAYS(TODAY(),V369),"")</f>
        <v/>
      </c>
      <c r="X369">
        <f>IF(AN369="Complete","Complete",IF(W369&lt;0,"Overdue",IF(W369&lt;=U369*0.2,"At Risk","On Track")))</f>
        <v/>
      </c>
    </row>
    <row r="370">
      <c r="K370">
        <f>IF(J370="v4.0",L370,IF(J370="v3.1",M370,IF(J370="Both",L370,IF(AND(L370&lt;&gt;"",M370=""),L370,M370))))</f>
        <v/>
      </c>
      <c r="W370">
        <f>IF(V370&lt;&gt;"",NETWORKDAYS(TODAY(),V370),"")</f>
        <v/>
      </c>
      <c r="X370">
        <f>IF(AN370="Complete","Complete",IF(W370&lt;0,"Overdue",IF(W370&lt;=U370*0.2,"At Risk","On Track")))</f>
        <v/>
      </c>
    </row>
    <row r="371">
      <c r="K371">
        <f>IF(J371="v4.0",L371,IF(J371="v3.1",M371,IF(J371="Both",L371,IF(AND(L371&lt;&gt;"",M371=""),L371,M371))))</f>
        <v/>
      </c>
      <c r="W371">
        <f>IF(V371&lt;&gt;"",NETWORKDAYS(TODAY(),V371),"")</f>
        <v/>
      </c>
      <c r="X371">
        <f>IF(AN371="Complete","Complete",IF(W371&lt;0,"Overdue",IF(W371&lt;=U371*0.2,"At Risk","On Track")))</f>
        <v/>
      </c>
    </row>
    <row r="372">
      <c r="K372">
        <f>IF(J372="v4.0",L372,IF(J372="v3.1",M372,IF(J372="Both",L372,IF(AND(L372&lt;&gt;"",M372=""),L372,M372))))</f>
        <v/>
      </c>
      <c r="W372">
        <f>IF(V372&lt;&gt;"",NETWORKDAYS(TODAY(),V372),"")</f>
        <v/>
      </c>
      <c r="X372">
        <f>IF(AN372="Complete","Complete",IF(W372&lt;0,"Overdue",IF(W372&lt;=U372*0.2,"At Risk","On Track")))</f>
        <v/>
      </c>
    </row>
    <row r="373">
      <c r="K373">
        <f>IF(J373="v4.0",L373,IF(J373="v3.1",M373,IF(J373="Both",L373,IF(AND(L373&lt;&gt;"",M373=""),L373,M373))))</f>
        <v/>
      </c>
      <c r="W373">
        <f>IF(V373&lt;&gt;"",NETWORKDAYS(TODAY(),V373),"")</f>
        <v/>
      </c>
      <c r="X373">
        <f>IF(AN373="Complete","Complete",IF(W373&lt;0,"Overdue",IF(W373&lt;=U373*0.2,"At Risk","On Track")))</f>
        <v/>
      </c>
    </row>
    <row r="374">
      <c r="K374">
        <f>IF(J374="v4.0",L374,IF(J374="v3.1",M374,IF(J374="Both",L374,IF(AND(L374&lt;&gt;"",M374=""),L374,M374))))</f>
        <v/>
      </c>
      <c r="W374">
        <f>IF(V374&lt;&gt;"",NETWORKDAYS(TODAY(),V374),"")</f>
        <v/>
      </c>
      <c r="X374">
        <f>IF(AN374="Complete","Complete",IF(W374&lt;0,"Overdue",IF(W374&lt;=U374*0.2,"At Risk","On Track")))</f>
        <v/>
      </c>
    </row>
    <row r="375">
      <c r="K375">
        <f>IF(J375="v4.0",L375,IF(J375="v3.1",M375,IF(J375="Both",L375,IF(AND(L375&lt;&gt;"",M375=""),L375,M375))))</f>
        <v/>
      </c>
      <c r="W375">
        <f>IF(V375&lt;&gt;"",NETWORKDAYS(TODAY(),V375),"")</f>
        <v/>
      </c>
      <c r="X375">
        <f>IF(AN375="Complete","Complete",IF(W375&lt;0,"Overdue",IF(W375&lt;=U375*0.2,"At Risk","On Track")))</f>
        <v/>
      </c>
    </row>
    <row r="376">
      <c r="K376">
        <f>IF(J376="v4.0",L376,IF(J376="v3.1",M376,IF(J376="Both",L376,IF(AND(L376&lt;&gt;"",M376=""),L376,M376))))</f>
        <v/>
      </c>
      <c r="W376">
        <f>IF(V376&lt;&gt;"",NETWORKDAYS(TODAY(),V376),"")</f>
        <v/>
      </c>
      <c r="X376">
        <f>IF(AN376="Complete","Complete",IF(W376&lt;0,"Overdue",IF(W376&lt;=U376*0.2,"At Risk","On Track")))</f>
        <v/>
      </c>
    </row>
    <row r="377">
      <c r="K377">
        <f>IF(J377="v4.0",L377,IF(J377="v3.1",M377,IF(J377="Both",L377,IF(AND(L377&lt;&gt;"",M377=""),L377,M377))))</f>
        <v/>
      </c>
      <c r="W377">
        <f>IF(V377&lt;&gt;"",NETWORKDAYS(TODAY(),V377),"")</f>
        <v/>
      </c>
      <c r="X377">
        <f>IF(AN377="Complete","Complete",IF(W377&lt;0,"Overdue",IF(W377&lt;=U377*0.2,"At Risk","On Track")))</f>
        <v/>
      </c>
    </row>
    <row r="378">
      <c r="K378">
        <f>IF(J378="v4.0",L378,IF(J378="v3.1",M378,IF(J378="Both",L378,IF(AND(L378&lt;&gt;"",M378=""),L378,M378))))</f>
        <v/>
      </c>
      <c r="W378">
        <f>IF(V378&lt;&gt;"",NETWORKDAYS(TODAY(),V378),"")</f>
        <v/>
      </c>
      <c r="X378">
        <f>IF(AN378="Complete","Complete",IF(W378&lt;0,"Overdue",IF(W378&lt;=U378*0.2,"At Risk","On Track")))</f>
        <v/>
      </c>
    </row>
    <row r="379">
      <c r="K379">
        <f>IF(J379="v4.0",L379,IF(J379="v3.1",M379,IF(J379="Both",L379,IF(AND(L379&lt;&gt;"",M379=""),L379,M379))))</f>
        <v/>
      </c>
      <c r="W379">
        <f>IF(V379&lt;&gt;"",NETWORKDAYS(TODAY(),V379),"")</f>
        <v/>
      </c>
      <c r="X379">
        <f>IF(AN379="Complete","Complete",IF(W379&lt;0,"Overdue",IF(W379&lt;=U379*0.2,"At Risk","On Track")))</f>
        <v/>
      </c>
    </row>
    <row r="380">
      <c r="K380">
        <f>IF(J380="v4.0",L380,IF(J380="v3.1",M380,IF(J380="Both",L380,IF(AND(L380&lt;&gt;"",M380=""),L380,M380))))</f>
        <v/>
      </c>
      <c r="W380">
        <f>IF(V380&lt;&gt;"",NETWORKDAYS(TODAY(),V380),"")</f>
        <v/>
      </c>
      <c r="X380">
        <f>IF(AN380="Complete","Complete",IF(W380&lt;0,"Overdue",IF(W380&lt;=U380*0.2,"At Risk","On Track")))</f>
        <v/>
      </c>
    </row>
    <row r="381">
      <c r="K381">
        <f>IF(J381="v4.0",L381,IF(J381="v3.1",M381,IF(J381="Both",L381,IF(AND(L381&lt;&gt;"",M381=""),L381,M381))))</f>
        <v/>
      </c>
      <c r="W381">
        <f>IF(V381&lt;&gt;"",NETWORKDAYS(TODAY(),V381),"")</f>
        <v/>
      </c>
      <c r="X381">
        <f>IF(AN381="Complete","Complete",IF(W381&lt;0,"Overdue",IF(W381&lt;=U381*0.2,"At Risk","On Track")))</f>
        <v/>
      </c>
    </row>
    <row r="382">
      <c r="K382">
        <f>IF(J382="v4.0",L382,IF(J382="v3.1",M382,IF(J382="Both",L382,IF(AND(L382&lt;&gt;"",M382=""),L382,M382))))</f>
        <v/>
      </c>
      <c r="W382">
        <f>IF(V382&lt;&gt;"",NETWORKDAYS(TODAY(),V382),"")</f>
        <v/>
      </c>
      <c r="X382">
        <f>IF(AN382="Complete","Complete",IF(W382&lt;0,"Overdue",IF(W382&lt;=U382*0.2,"At Risk","On Track")))</f>
        <v/>
      </c>
    </row>
    <row r="383">
      <c r="K383">
        <f>IF(J383="v4.0",L383,IF(J383="v3.1",M383,IF(J383="Both",L383,IF(AND(L383&lt;&gt;"",M383=""),L383,M383))))</f>
        <v/>
      </c>
      <c r="W383">
        <f>IF(V383&lt;&gt;"",NETWORKDAYS(TODAY(),V383),"")</f>
        <v/>
      </c>
      <c r="X383">
        <f>IF(AN383="Complete","Complete",IF(W383&lt;0,"Overdue",IF(W383&lt;=U383*0.2,"At Risk","On Track")))</f>
        <v/>
      </c>
    </row>
    <row r="384">
      <c r="K384">
        <f>IF(J384="v4.0",L384,IF(J384="v3.1",M384,IF(J384="Both",L384,IF(AND(L384&lt;&gt;"",M384=""),L384,M384))))</f>
        <v/>
      </c>
      <c r="W384">
        <f>IF(V384&lt;&gt;"",NETWORKDAYS(TODAY(),V384),"")</f>
        <v/>
      </c>
      <c r="X384">
        <f>IF(AN384="Complete","Complete",IF(W384&lt;0,"Overdue",IF(W384&lt;=U384*0.2,"At Risk","On Track")))</f>
        <v/>
      </c>
    </row>
    <row r="385">
      <c r="K385">
        <f>IF(J385="v4.0",L385,IF(J385="v3.1",M385,IF(J385="Both",L385,IF(AND(L385&lt;&gt;"",M385=""),L385,M385))))</f>
        <v/>
      </c>
      <c r="W385">
        <f>IF(V385&lt;&gt;"",NETWORKDAYS(TODAY(),V385),"")</f>
        <v/>
      </c>
      <c r="X385">
        <f>IF(AN385="Complete","Complete",IF(W385&lt;0,"Overdue",IF(W385&lt;=U385*0.2,"At Risk","On Track")))</f>
        <v/>
      </c>
    </row>
    <row r="386">
      <c r="K386">
        <f>IF(J386="v4.0",L386,IF(J386="v3.1",M386,IF(J386="Both",L386,IF(AND(L386&lt;&gt;"",M386=""),L386,M386))))</f>
        <v/>
      </c>
      <c r="W386">
        <f>IF(V386&lt;&gt;"",NETWORKDAYS(TODAY(),V386),"")</f>
        <v/>
      </c>
      <c r="X386">
        <f>IF(AN386="Complete","Complete",IF(W386&lt;0,"Overdue",IF(W386&lt;=U386*0.2,"At Risk","On Track")))</f>
        <v/>
      </c>
    </row>
    <row r="387">
      <c r="K387">
        <f>IF(J387="v4.0",L387,IF(J387="v3.1",M387,IF(J387="Both",L387,IF(AND(L387&lt;&gt;"",M387=""),L387,M387))))</f>
        <v/>
      </c>
      <c r="W387">
        <f>IF(V387&lt;&gt;"",NETWORKDAYS(TODAY(),V387),"")</f>
        <v/>
      </c>
      <c r="X387">
        <f>IF(AN387="Complete","Complete",IF(W387&lt;0,"Overdue",IF(W387&lt;=U387*0.2,"At Risk","On Track")))</f>
        <v/>
      </c>
    </row>
    <row r="388">
      <c r="K388">
        <f>IF(J388="v4.0",L388,IF(J388="v3.1",M388,IF(J388="Both",L388,IF(AND(L388&lt;&gt;"",M388=""),L388,M388))))</f>
        <v/>
      </c>
      <c r="W388">
        <f>IF(V388&lt;&gt;"",NETWORKDAYS(TODAY(),V388),"")</f>
        <v/>
      </c>
      <c r="X388">
        <f>IF(AN388="Complete","Complete",IF(W388&lt;0,"Overdue",IF(W388&lt;=U388*0.2,"At Risk","On Track")))</f>
        <v/>
      </c>
    </row>
    <row r="389">
      <c r="K389">
        <f>IF(J389="v4.0",L389,IF(J389="v3.1",M389,IF(J389="Both",L389,IF(AND(L389&lt;&gt;"",M389=""),L389,M389))))</f>
        <v/>
      </c>
      <c r="W389">
        <f>IF(V389&lt;&gt;"",NETWORKDAYS(TODAY(),V389),"")</f>
        <v/>
      </c>
      <c r="X389">
        <f>IF(AN389="Complete","Complete",IF(W389&lt;0,"Overdue",IF(W389&lt;=U389*0.2,"At Risk","On Track")))</f>
        <v/>
      </c>
    </row>
    <row r="390">
      <c r="K390">
        <f>IF(J390="v4.0",L390,IF(J390="v3.1",M390,IF(J390="Both",L390,IF(AND(L390&lt;&gt;"",M390=""),L390,M390))))</f>
        <v/>
      </c>
      <c r="W390">
        <f>IF(V390&lt;&gt;"",NETWORKDAYS(TODAY(),V390),"")</f>
        <v/>
      </c>
      <c r="X390">
        <f>IF(AN390="Complete","Complete",IF(W390&lt;0,"Overdue",IF(W390&lt;=U390*0.2,"At Risk","On Track")))</f>
        <v/>
      </c>
    </row>
    <row r="391">
      <c r="K391">
        <f>IF(J391="v4.0",L391,IF(J391="v3.1",M391,IF(J391="Both",L391,IF(AND(L391&lt;&gt;"",M391=""),L391,M391))))</f>
        <v/>
      </c>
      <c r="W391">
        <f>IF(V391&lt;&gt;"",NETWORKDAYS(TODAY(),V391),"")</f>
        <v/>
      </c>
      <c r="X391">
        <f>IF(AN391="Complete","Complete",IF(W391&lt;0,"Overdue",IF(W391&lt;=U391*0.2,"At Risk","On Track")))</f>
        <v/>
      </c>
    </row>
    <row r="392">
      <c r="K392">
        <f>IF(J392="v4.0",L392,IF(J392="v3.1",M392,IF(J392="Both",L392,IF(AND(L392&lt;&gt;"",M392=""),L392,M392))))</f>
        <v/>
      </c>
      <c r="W392">
        <f>IF(V392&lt;&gt;"",NETWORKDAYS(TODAY(),V392),"")</f>
        <v/>
      </c>
      <c r="X392">
        <f>IF(AN392="Complete","Complete",IF(W392&lt;0,"Overdue",IF(W392&lt;=U392*0.2,"At Risk","On Track")))</f>
        <v/>
      </c>
    </row>
    <row r="393">
      <c r="K393">
        <f>IF(J393="v4.0",L393,IF(J393="v3.1",M393,IF(J393="Both",L393,IF(AND(L393&lt;&gt;"",M393=""),L393,M393))))</f>
        <v/>
      </c>
      <c r="W393">
        <f>IF(V393&lt;&gt;"",NETWORKDAYS(TODAY(),V393),"")</f>
        <v/>
      </c>
      <c r="X393">
        <f>IF(AN393="Complete","Complete",IF(W393&lt;0,"Overdue",IF(W393&lt;=U393*0.2,"At Risk","On Track")))</f>
        <v/>
      </c>
    </row>
    <row r="394">
      <c r="K394">
        <f>IF(J394="v4.0",L394,IF(J394="v3.1",M394,IF(J394="Both",L394,IF(AND(L394&lt;&gt;"",M394=""),L394,M394))))</f>
        <v/>
      </c>
      <c r="W394">
        <f>IF(V394&lt;&gt;"",NETWORKDAYS(TODAY(),V394),"")</f>
        <v/>
      </c>
      <c r="X394">
        <f>IF(AN394="Complete","Complete",IF(W394&lt;0,"Overdue",IF(W394&lt;=U394*0.2,"At Risk","On Track")))</f>
        <v/>
      </c>
    </row>
    <row r="395">
      <c r="K395">
        <f>IF(J395="v4.0",L395,IF(J395="v3.1",M395,IF(J395="Both",L395,IF(AND(L395&lt;&gt;"",M395=""),L395,M395))))</f>
        <v/>
      </c>
      <c r="W395">
        <f>IF(V395&lt;&gt;"",NETWORKDAYS(TODAY(),V395),"")</f>
        <v/>
      </c>
      <c r="X395">
        <f>IF(AN395="Complete","Complete",IF(W395&lt;0,"Overdue",IF(W395&lt;=U395*0.2,"At Risk","On Track")))</f>
        <v/>
      </c>
    </row>
    <row r="396">
      <c r="K396">
        <f>IF(J396="v4.0",L396,IF(J396="v3.1",M396,IF(J396="Both",L396,IF(AND(L396&lt;&gt;"",M396=""),L396,M396))))</f>
        <v/>
      </c>
      <c r="W396">
        <f>IF(V396&lt;&gt;"",NETWORKDAYS(TODAY(),V396),"")</f>
        <v/>
      </c>
      <c r="X396">
        <f>IF(AN396="Complete","Complete",IF(W396&lt;0,"Overdue",IF(W396&lt;=U396*0.2,"At Risk","On Track")))</f>
        <v/>
      </c>
    </row>
    <row r="397">
      <c r="K397">
        <f>IF(J397="v4.0",L397,IF(J397="v3.1",M397,IF(J397="Both",L397,IF(AND(L397&lt;&gt;"",M397=""),L397,M397))))</f>
        <v/>
      </c>
      <c r="W397">
        <f>IF(V397&lt;&gt;"",NETWORKDAYS(TODAY(),V397),"")</f>
        <v/>
      </c>
      <c r="X397">
        <f>IF(AN397="Complete","Complete",IF(W397&lt;0,"Overdue",IF(W397&lt;=U397*0.2,"At Risk","On Track")))</f>
        <v/>
      </c>
    </row>
    <row r="398">
      <c r="K398">
        <f>IF(J398="v4.0",L398,IF(J398="v3.1",M398,IF(J398="Both",L398,IF(AND(L398&lt;&gt;"",M398=""),L398,M398))))</f>
        <v/>
      </c>
      <c r="W398">
        <f>IF(V398&lt;&gt;"",NETWORKDAYS(TODAY(),V398),"")</f>
        <v/>
      </c>
      <c r="X398">
        <f>IF(AN398="Complete","Complete",IF(W398&lt;0,"Overdue",IF(W398&lt;=U398*0.2,"At Risk","On Track")))</f>
        <v/>
      </c>
    </row>
    <row r="399">
      <c r="K399">
        <f>IF(J399="v4.0",L399,IF(J399="v3.1",M399,IF(J399="Both",L399,IF(AND(L399&lt;&gt;"",M399=""),L399,M399))))</f>
        <v/>
      </c>
      <c r="W399">
        <f>IF(V399&lt;&gt;"",NETWORKDAYS(TODAY(),V399),"")</f>
        <v/>
      </c>
      <c r="X399">
        <f>IF(AN399="Complete","Complete",IF(W399&lt;0,"Overdue",IF(W399&lt;=U399*0.2,"At Risk","On Track")))</f>
        <v/>
      </c>
    </row>
    <row r="400">
      <c r="K400">
        <f>IF(J400="v4.0",L400,IF(J400="v3.1",M400,IF(J400="Both",L400,IF(AND(L400&lt;&gt;"",M400=""),L400,M400))))</f>
        <v/>
      </c>
      <c r="W400">
        <f>IF(V400&lt;&gt;"",NETWORKDAYS(TODAY(),V400),"")</f>
        <v/>
      </c>
      <c r="X400">
        <f>IF(AN400="Complete","Complete",IF(W400&lt;0,"Overdue",IF(W400&lt;=U400*0.2,"At Risk","On Track")))</f>
        <v/>
      </c>
    </row>
    <row r="401">
      <c r="K401">
        <f>IF(J401="v4.0",L401,IF(J401="v3.1",M401,IF(J401="Both",L401,IF(AND(L401&lt;&gt;"",M401=""),L401,M401))))</f>
        <v/>
      </c>
      <c r="W401">
        <f>IF(V401&lt;&gt;"",NETWORKDAYS(TODAY(),V401),"")</f>
        <v/>
      </c>
      <c r="X401">
        <f>IF(AN401="Complete","Complete",IF(W401&lt;0,"Overdue",IF(W401&lt;=U401*0.2,"At Risk","On Track")))</f>
        <v/>
      </c>
    </row>
    <row r="402">
      <c r="K402">
        <f>IF(J402="v4.0",L402,IF(J402="v3.1",M402,IF(J402="Both",L402,IF(AND(L402&lt;&gt;"",M402=""),L402,M402))))</f>
        <v/>
      </c>
      <c r="W402">
        <f>IF(V402&lt;&gt;"",NETWORKDAYS(TODAY(),V402),"")</f>
        <v/>
      </c>
      <c r="X402">
        <f>IF(AN402="Complete","Complete",IF(W402&lt;0,"Overdue",IF(W402&lt;=U402*0.2,"At Risk","On Track")))</f>
        <v/>
      </c>
    </row>
    <row r="403">
      <c r="K403">
        <f>IF(J403="v4.0",L403,IF(J403="v3.1",M403,IF(J403="Both",L403,IF(AND(L403&lt;&gt;"",M403=""),L403,M403))))</f>
        <v/>
      </c>
      <c r="W403">
        <f>IF(V403&lt;&gt;"",NETWORKDAYS(TODAY(),V403),"")</f>
        <v/>
      </c>
      <c r="X403">
        <f>IF(AN403="Complete","Complete",IF(W403&lt;0,"Overdue",IF(W403&lt;=U403*0.2,"At Risk","On Track")))</f>
        <v/>
      </c>
    </row>
    <row r="404">
      <c r="K404">
        <f>IF(J404="v4.0",L404,IF(J404="v3.1",M404,IF(J404="Both",L404,IF(AND(L404&lt;&gt;"",M404=""),L404,M404))))</f>
        <v/>
      </c>
      <c r="W404">
        <f>IF(V404&lt;&gt;"",NETWORKDAYS(TODAY(),V404),"")</f>
        <v/>
      </c>
      <c r="X404">
        <f>IF(AN404="Complete","Complete",IF(W404&lt;0,"Overdue",IF(W404&lt;=U404*0.2,"At Risk","On Track")))</f>
        <v/>
      </c>
    </row>
    <row r="405">
      <c r="K405">
        <f>IF(J405="v4.0",L405,IF(J405="v3.1",M405,IF(J405="Both",L405,IF(AND(L405&lt;&gt;"",M405=""),L405,M405))))</f>
        <v/>
      </c>
      <c r="W405">
        <f>IF(V405&lt;&gt;"",NETWORKDAYS(TODAY(),V405),"")</f>
        <v/>
      </c>
      <c r="X405">
        <f>IF(AN405="Complete","Complete",IF(W405&lt;0,"Overdue",IF(W405&lt;=U405*0.2,"At Risk","On Track")))</f>
        <v/>
      </c>
    </row>
    <row r="406">
      <c r="K406">
        <f>IF(J406="v4.0",L406,IF(J406="v3.1",M406,IF(J406="Both",L406,IF(AND(L406&lt;&gt;"",M406=""),L406,M406))))</f>
        <v/>
      </c>
      <c r="W406">
        <f>IF(V406&lt;&gt;"",NETWORKDAYS(TODAY(),V406),"")</f>
        <v/>
      </c>
      <c r="X406">
        <f>IF(AN406="Complete","Complete",IF(W406&lt;0,"Overdue",IF(W406&lt;=U406*0.2,"At Risk","On Track")))</f>
        <v/>
      </c>
    </row>
    <row r="407">
      <c r="K407">
        <f>IF(J407="v4.0",L407,IF(J407="v3.1",M407,IF(J407="Both",L407,IF(AND(L407&lt;&gt;"",M407=""),L407,M407))))</f>
        <v/>
      </c>
      <c r="W407">
        <f>IF(V407&lt;&gt;"",NETWORKDAYS(TODAY(),V407),"")</f>
        <v/>
      </c>
      <c r="X407">
        <f>IF(AN407="Complete","Complete",IF(W407&lt;0,"Overdue",IF(W407&lt;=U407*0.2,"At Risk","On Track")))</f>
        <v/>
      </c>
    </row>
    <row r="408">
      <c r="K408">
        <f>IF(J408="v4.0",L408,IF(J408="v3.1",M408,IF(J408="Both",L408,IF(AND(L408&lt;&gt;"",M408=""),L408,M408))))</f>
        <v/>
      </c>
      <c r="W408">
        <f>IF(V408&lt;&gt;"",NETWORKDAYS(TODAY(),V408),"")</f>
        <v/>
      </c>
      <c r="X408">
        <f>IF(AN408="Complete","Complete",IF(W408&lt;0,"Overdue",IF(W408&lt;=U408*0.2,"At Risk","On Track")))</f>
        <v/>
      </c>
    </row>
    <row r="409">
      <c r="K409">
        <f>IF(J409="v4.0",L409,IF(J409="v3.1",M409,IF(J409="Both",L409,IF(AND(L409&lt;&gt;"",M409=""),L409,M409))))</f>
        <v/>
      </c>
      <c r="W409">
        <f>IF(V409&lt;&gt;"",NETWORKDAYS(TODAY(),V409),"")</f>
        <v/>
      </c>
      <c r="X409">
        <f>IF(AN409="Complete","Complete",IF(W409&lt;0,"Overdue",IF(W409&lt;=U409*0.2,"At Risk","On Track")))</f>
        <v/>
      </c>
    </row>
    <row r="410">
      <c r="K410">
        <f>IF(J410="v4.0",L410,IF(J410="v3.1",M410,IF(J410="Both",L410,IF(AND(L410&lt;&gt;"",M410=""),L410,M410))))</f>
        <v/>
      </c>
      <c r="W410">
        <f>IF(V410&lt;&gt;"",NETWORKDAYS(TODAY(),V410),"")</f>
        <v/>
      </c>
      <c r="X410">
        <f>IF(AN410="Complete","Complete",IF(W410&lt;0,"Overdue",IF(W410&lt;=U410*0.2,"At Risk","On Track")))</f>
        <v/>
      </c>
    </row>
    <row r="411">
      <c r="K411">
        <f>IF(J411="v4.0",L411,IF(J411="v3.1",M411,IF(J411="Both",L411,IF(AND(L411&lt;&gt;"",M411=""),L411,M411))))</f>
        <v/>
      </c>
      <c r="W411">
        <f>IF(V411&lt;&gt;"",NETWORKDAYS(TODAY(),V411),"")</f>
        <v/>
      </c>
      <c r="X411">
        <f>IF(AN411="Complete","Complete",IF(W411&lt;0,"Overdue",IF(W411&lt;=U411*0.2,"At Risk","On Track")))</f>
        <v/>
      </c>
    </row>
    <row r="412">
      <c r="K412">
        <f>IF(J412="v4.0",L412,IF(J412="v3.1",M412,IF(J412="Both",L412,IF(AND(L412&lt;&gt;"",M412=""),L412,M412))))</f>
        <v/>
      </c>
      <c r="W412">
        <f>IF(V412&lt;&gt;"",NETWORKDAYS(TODAY(),V412),"")</f>
        <v/>
      </c>
      <c r="X412">
        <f>IF(AN412="Complete","Complete",IF(W412&lt;0,"Overdue",IF(W412&lt;=U412*0.2,"At Risk","On Track")))</f>
        <v/>
      </c>
    </row>
    <row r="413">
      <c r="K413">
        <f>IF(J413="v4.0",L413,IF(J413="v3.1",M413,IF(J413="Both",L413,IF(AND(L413&lt;&gt;"",M413=""),L413,M413))))</f>
        <v/>
      </c>
      <c r="W413">
        <f>IF(V413&lt;&gt;"",NETWORKDAYS(TODAY(),V413),"")</f>
        <v/>
      </c>
      <c r="X413">
        <f>IF(AN413="Complete","Complete",IF(W413&lt;0,"Overdue",IF(W413&lt;=U413*0.2,"At Risk","On Track")))</f>
        <v/>
      </c>
    </row>
    <row r="414">
      <c r="K414">
        <f>IF(J414="v4.0",L414,IF(J414="v3.1",M414,IF(J414="Both",L414,IF(AND(L414&lt;&gt;"",M414=""),L414,M414))))</f>
        <v/>
      </c>
      <c r="W414">
        <f>IF(V414&lt;&gt;"",NETWORKDAYS(TODAY(),V414),"")</f>
        <v/>
      </c>
      <c r="X414">
        <f>IF(AN414="Complete","Complete",IF(W414&lt;0,"Overdue",IF(W414&lt;=U414*0.2,"At Risk","On Track")))</f>
        <v/>
      </c>
    </row>
    <row r="415">
      <c r="K415">
        <f>IF(J415="v4.0",L415,IF(J415="v3.1",M415,IF(J415="Both",L415,IF(AND(L415&lt;&gt;"",M415=""),L415,M415))))</f>
        <v/>
      </c>
      <c r="W415">
        <f>IF(V415&lt;&gt;"",NETWORKDAYS(TODAY(),V415),"")</f>
        <v/>
      </c>
      <c r="X415">
        <f>IF(AN415="Complete","Complete",IF(W415&lt;0,"Overdue",IF(W415&lt;=U415*0.2,"At Risk","On Track")))</f>
        <v/>
      </c>
    </row>
    <row r="416">
      <c r="K416">
        <f>IF(J416="v4.0",L416,IF(J416="v3.1",M416,IF(J416="Both",L416,IF(AND(L416&lt;&gt;"",M416=""),L416,M416))))</f>
        <v/>
      </c>
      <c r="W416">
        <f>IF(V416&lt;&gt;"",NETWORKDAYS(TODAY(),V416),"")</f>
        <v/>
      </c>
      <c r="X416">
        <f>IF(AN416="Complete","Complete",IF(W416&lt;0,"Overdue",IF(W416&lt;=U416*0.2,"At Risk","On Track")))</f>
        <v/>
      </c>
    </row>
    <row r="417">
      <c r="K417">
        <f>IF(J417="v4.0",L417,IF(J417="v3.1",M417,IF(J417="Both",L417,IF(AND(L417&lt;&gt;"",M417=""),L417,M417))))</f>
        <v/>
      </c>
      <c r="W417">
        <f>IF(V417&lt;&gt;"",NETWORKDAYS(TODAY(),V417),"")</f>
        <v/>
      </c>
      <c r="X417">
        <f>IF(AN417="Complete","Complete",IF(W417&lt;0,"Overdue",IF(W417&lt;=U417*0.2,"At Risk","On Track")))</f>
        <v/>
      </c>
    </row>
    <row r="418">
      <c r="K418">
        <f>IF(J418="v4.0",L418,IF(J418="v3.1",M418,IF(J418="Both",L418,IF(AND(L418&lt;&gt;"",M418=""),L418,M418))))</f>
        <v/>
      </c>
      <c r="W418">
        <f>IF(V418&lt;&gt;"",NETWORKDAYS(TODAY(),V418),"")</f>
        <v/>
      </c>
      <c r="X418">
        <f>IF(AN418="Complete","Complete",IF(W418&lt;0,"Overdue",IF(W418&lt;=U418*0.2,"At Risk","On Track")))</f>
        <v/>
      </c>
    </row>
    <row r="419">
      <c r="K419">
        <f>IF(J419="v4.0",L419,IF(J419="v3.1",M419,IF(J419="Both",L419,IF(AND(L419&lt;&gt;"",M419=""),L419,M419))))</f>
        <v/>
      </c>
      <c r="W419">
        <f>IF(V419&lt;&gt;"",NETWORKDAYS(TODAY(),V419),"")</f>
        <v/>
      </c>
      <c r="X419">
        <f>IF(AN419="Complete","Complete",IF(W419&lt;0,"Overdue",IF(W419&lt;=U419*0.2,"At Risk","On Track")))</f>
        <v/>
      </c>
    </row>
    <row r="420">
      <c r="K420">
        <f>IF(J420="v4.0",L420,IF(J420="v3.1",M420,IF(J420="Both",L420,IF(AND(L420&lt;&gt;"",M420=""),L420,M420))))</f>
        <v/>
      </c>
      <c r="W420">
        <f>IF(V420&lt;&gt;"",NETWORKDAYS(TODAY(),V420),"")</f>
        <v/>
      </c>
      <c r="X420">
        <f>IF(AN420="Complete","Complete",IF(W420&lt;0,"Overdue",IF(W420&lt;=U420*0.2,"At Risk","On Track")))</f>
        <v/>
      </c>
    </row>
    <row r="421">
      <c r="K421">
        <f>IF(J421="v4.0",L421,IF(J421="v3.1",M421,IF(J421="Both",L421,IF(AND(L421&lt;&gt;"",M421=""),L421,M421))))</f>
        <v/>
      </c>
      <c r="W421">
        <f>IF(V421&lt;&gt;"",NETWORKDAYS(TODAY(),V421),"")</f>
        <v/>
      </c>
      <c r="X421">
        <f>IF(AN421="Complete","Complete",IF(W421&lt;0,"Overdue",IF(W421&lt;=U421*0.2,"At Risk","On Track")))</f>
        <v/>
      </c>
    </row>
    <row r="422">
      <c r="K422">
        <f>IF(J422="v4.0",L422,IF(J422="v3.1",M422,IF(J422="Both",L422,IF(AND(L422&lt;&gt;"",M422=""),L422,M422))))</f>
        <v/>
      </c>
      <c r="W422">
        <f>IF(V422&lt;&gt;"",NETWORKDAYS(TODAY(),V422),"")</f>
        <v/>
      </c>
      <c r="X422">
        <f>IF(AN422="Complete","Complete",IF(W422&lt;0,"Overdue",IF(W422&lt;=U422*0.2,"At Risk","On Track")))</f>
        <v/>
      </c>
    </row>
    <row r="423">
      <c r="K423">
        <f>IF(J423="v4.0",L423,IF(J423="v3.1",M423,IF(J423="Both",L423,IF(AND(L423&lt;&gt;"",M423=""),L423,M423))))</f>
        <v/>
      </c>
      <c r="W423">
        <f>IF(V423&lt;&gt;"",NETWORKDAYS(TODAY(),V423),"")</f>
        <v/>
      </c>
      <c r="X423">
        <f>IF(AN423="Complete","Complete",IF(W423&lt;0,"Overdue",IF(W423&lt;=U423*0.2,"At Risk","On Track")))</f>
        <v/>
      </c>
    </row>
    <row r="424">
      <c r="K424">
        <f>IF(J424="v4.0",L424,IF(J424="v3.1",M424,IF(J424="Both",L424,IF(AND(L424&lt;&gt;"",M424=""),L424,M424))))</f>
        <v/>
      </c>
      <c r="W424">
        <f>IF(V424&lt;&gt;"",NETWORKDAYS(TODAY(),V424),"")</f>
        <v/>
      </c>
      <c r="X424">
        <f>IF(AN424="Complete","Complete",IF(W424&lt;0,"Overdue",IF(W424&lt;=U424*0.2,"At Risk","On Track")))</f>
        <v/>
      </c>
    </row>
    <row r="425">
      <c r="K425">
        <f>IF(J425="v4.0",L425,IF(J425="v3.1",M425,IF(J425="Both",L425,IF(AND(L425&lt;&gt;"",M425=""),L425,M425))))</f>
        <v/>
      </c>
      <c r="W425">
        <f>IF(V425&lt;&gt;"",NETWORKDAYS(TODAY(),V425),"")</f>
        <v/>
      </c>
      <c r="X425">
        <f>IF(AN425="Complete","Complete",IF(W425&lt;0,"Overdue",IF(W425&lt;=U425*0.2,"At Risk","On Track")))</f>
        <v/>
      </c>
    </row>
    <row r="426">
      <c r="K426">
        <f>IF(J426="v4.0",L426,IF(J426="v3.1",M426,IF(J426="Both",L426,IF(AND(L426&lt;&gt;"",M426=""),L426,M426))))</f>
        <v/>
      </c>
      <c r="W426">
        <f>IF(V426&lt;&gt;"",NETWORKDAYS(TODAY(),V426),"")</f>
        <v/>
      </c>
      <c r="X426">
        <f>IF(AN426="Complete","Complete",IF(W426&lt;0,"Overdue",IF(W426&lt;=U426*0.2,"At Risk","On Track")))</f>
        <v/>
      </c>
    </row>
    <row r="427">
      <c r="K427">
        <f>IF(J427="v4.0",L427,IF(J427="v3.1",M427,IF(J427="Both",L427,IF(AND(L427&lt;&gt;"",M427=""),L427,M427))))</f>
        <v/>
      </c>
      <c r="W427">
        <f>IF(V427&lt;&gt;"",NETWORKDAYS(TODAY(),V427),"")</f>
        <v/>
      </c>
      <c r="X427">
        <f>IF(AN427="Complete","Complete",IF(W427&lt;0,"Overdue",IF(W427&lt;=U427*0.2,"At Risk","On Track")))</f>
        <v/>
      </c>
    </row>
    <row r="428">
      <c r="K428">
        <f>IF(J428="v4.0",L428,IF(J428="v3.1",M428,IF(J428="Both",L428,IF(AND(L428&lt;&gt;"",M428=""),L428,M428))))</f>
        <v/>
      </c>
      <c r="W428">
        <f>IF(V428&lt;&gt;"",NETWORKDAYS(TODAY(),V428),"")</f>
        <v/>
      </c>
      <c r="X428">
        <f>IF(AN428="Complete","Complete",IF(W428&lt;0,"Overdue",IF(W428&lt;=U428*0.2,"At Risk","On Track")))</f>
        <v/>
      </c>
    </row>
    <row r="429">
      <c r="K429">
        <f>IF(J429="v4.0",L429,IF(J429="v3.1",M429,IF(J429="Both",L429,IF(AND(L429&lt;&gt;"",M429=""),L429,M429))))</f>
        <v/>
      </c>
      <c r="W429">
        <f>IF(V429&lt;&gt;"",NETWORKDAYS(TODAY(),V429),"")</f>
        <v/>
      </c>
      <c r="X429">
        <f>IF(AN429="Complete","Complete",IF(W429&lt;0,"Overdue",IF(W429&lt;=U429*0.2,"At Risk","On Track")))</f>
        <v/>
      </c>
    </row>
    <row r="430">
      <c r="K430">
        <f>IF(J430="v4.0",L430,IF(J430="v3.1",M430,IF(J430="Both",L430,IF(AND(L430&lt;&gt;"",M430=""),L430,M430))))</f>
        <v/>
      </c>
      <c r="W430">
        <f>IF(V430&lt;&gt;"",NETWORKDAYS(TODAY(),V430),"")</f>
        <v/>
      </c>
      <c r="X430">
        <f>IF(AN430="Complete","Complete",IF(W430&lt;0,"Overdue",IF(W430&lt;=U430*0.2,"At Risk","On Track")))</f>
        <v/>
      </c>
    </row>
    <row r="431">
      <c r="K431">
        <f>IF(J431="v4.0",L431,IF(J431="v3.1",M431,IF(J431="Both",L431,IF(AND(L431&lt;&gt;"",M431=""),L431,M431))))</f>
        <v/>
      </c>
      <c r="W431">
        <f>IF(V431&lt;&gt;"",NETWORKDAYS(TODAY(),V431),"")</f>
        <v/>
      </c>
      <c r="X431">
        <f>IF(AN431="Complete","Complete",IF(W431&lt;0,"Overdue",IF(W431&lt;=U431*0.2,"At Risk","On Track")))</f>
        <v/>
      </c>
    </row>
    <row r="432">
      <c r="K432">
        <f>IF(J432="v4.0",L432,IF(J432="v3.1",M432,IF(J432="Both",L432,IF(AND(L432&lt;&gt;"",M432=""),L432,M432))))</f>
        <v/>
      </c>
      <c r="W432">
        <f>IF(V432&lt;&gt;"",NETWORKDAYS(TODAY(),V432),"")</f>
        <v/>
      </c>
      <c r="X432">
        <f>IF(AN432="Complete","Complete",IF(W432&lt;0,"Overdue",IF(W432&lt;=U432*0.2,"At Risk","On Track")))</f>
        <v/>
      </c>
    </row>
    <row r="433">
      <c r="K433">
        <f>IF(J433="v4.0",L433,IF(J433="v3.1",M433,IF(J433="Both",L433,IF(AND(L433&lt;&gt;"",M433=""),L433,M433))))</f>
        <v/>
      </c>
      <c r="W433">
        <f>IF(V433&lt;&gt;"",NETWORKDAYS(TODAY(),V433),"")</f>
        <v/>
      </c>
      <c r="X433">
        <f>IF(AN433="Complete","Complete",IF(W433&lt;0,"Overdue",IF(W433&lt;=U433*0.2,"At Risk","On Track")))</f>
        <v/>
      </c>
    </row>
    <row r="434">
      <c r="K434">
        <f>IF(J434="v4.0",L434,IF(J434="v3.1",M434,IF(J434="Both",L434,IF(AND(L434&lt;&gt;"",M434=""),L434,M434))))</f>
        <v/>
      </c>
      <c r="W434">
        <f>IF(V434&lt;&gt;"",NETWORKDAYS(TODAY(),V434),"")</f>
        <v/>
      </c>
      <c r="X434">
        <f>IF(AN434="Complete","Complete",IF(W434&lt;0,"Overdue",IF(W434&lt;=U434*0.2,"At Risk","On Track")))</f>
        <v/>
      </c>
    </row>
    <row r="435">
      <c r="K435">
        <f>IF(J435="v4.0",L435,IF(J435="v3.1",M435,IF(J435="Both",L435,IF(AND(L435&lt;&gt;"",M435=""),L435,M435))))</f>
        <v/>
      </c>
      <c r="W435">
        <f>IF(V435&lt;&gt;"",NETWORKDAYS(TODAY(),V435),"")</f>
        <v/>
      </c>
      <c r="X435">
        <f>IF(AN435="Complete","Complete",IF(W435&lt;0,"Overdue",IF(W435&lt;=U435*0.2,"At Risk","On Track")))</f>
        <v/>
      </c>
    </row>
    <row r="436">
      <c r="K436">
        <f>IF(J436="v4.0",L436,IF(J436="v3.1",M436,IF(J436="Both",L436,IF(AND(L436&lt;&gt;"",M436=""),L436,M436))))</f>
        <v/>
      </c>
      <c r="W436">
        <f>IF(V436&lt;&gt;"",NETWORKDAYS(TODAY(),V436),"")</f>
        <v/>
      </c>
      <c r="X436">
        <f>IF(AN436="Complete","Complete",IF(W436&lt;0,"Overdue",IF(W436&lt;=U436*0.2,"At Risk","On Track")))</f>
        <v/>
      </c>
    </row>
    <row r="437">
      <c r="K437">
        <f>IF(J437="v4.0",L437,IF(J437="v3.1",M437,IF(J437="Both",L437,IF(AND(L437&lt;&gt;"",M437=""),L437,M437))))</f>
        <v/>
      </c>
      <c r="W437">
        <f>IF(V437&lt;&gt;"",NETWORKDAYS(TODAY(),V437),"")</f>
        <v/>
      </c>
      <c r="X437">
        <f>IF(AN437="Complete","Complete",IF(W437&lt;0,"Overdue",IF(W437&lt;=U437*0.2,"At Risk","On Track")))</f>
        <v/>
      </c>
    </row>
    <row r="438">
      <c r="K438">
        <f>IF(J438="v4.0",L438,IF(J438="v3.1",M438,IF(J438="Both",L438,IF(AND(L438&lt;&gt;"",M438=""),L438,M438))))</f>
        <v/>
      </c>
      <c r="W438">
        <f>IF(V438&lt;&gt;"",NETWORKDAYS(TODAY(),V438),"")</f>
        <v/>
      </c>
      <c r="X438">
        <f>IF(AN438="Complete","Complete",IF(W438&lt;0,"Overdue",IF(W438&lt;=U438*0.2,"At Risk","On Track")))</f>
        <v/>
      </c>
    </row>
    <row r="439">
      <c r="K439">
        <f>IF(J439="v4.0",L439,IF(J439="v3.1",M439,IF(J439="Both",L439,IF(AND(L439&lt;&gt;"",M439=""),L439,M439))))</f>
        <v/>
      </c>
      <c r="W439">
        <f>IF(V439&lt;&gt;"",NETWORKDAYS(TODAY(),V439),"")</f>
        <v/>
      </c>
      <c r="X439">
        <f>IF(AN439="Complete","Complete",IF(W439&lt;0,"Overdue",IF(W439&lt;=U439*0.2,"At Risk","On Track")))</f>
        <v/>
      </c>
    </row>
    <row r="440">
      <c r="K440">
        <f>IF(J440="v4.0",L440,IF(J440="v3.1",M440,IF(J440="Both",L440,IF(AND(L440&lt;&gt;"",M440=""),L440,M440))))</f>
        <v/>
      </c>
      <c r="W440">
        <f>IF(V440&lt;&gt;"",NETWORKDAYS(TODAY(),V440),"")</f>
        <v/>
      </c>
      <c r="X440">
        <f>IF(AN440="Complete","Complete",IF(W440&lt;0,"Overdue",IF(W440&lt;=U440*0.2,"At Risk","On Track")))</f>
        <v/>
      </c>
    </row>
    <row r="441">
      <c r="K441">
        <f>IF(J441="v4.0",L441,IF(J441="v3.1",M441,IF(J441="Both",L441,IF(AND(L441&lt;&gt;"",M441=""),L441,M441))))</f>
        <v/>
      </c>
      <c r="W441">
        <f>IF(V441&lt;&gt;"",NETWORKDAYS(TODAY(),V441),"")</f>
        <v/>
      </c>
      <c r="X441">
        <f>IF(AN441="Complete","Complete",IF(W441&lt;0,"Overdue",IF(W441&lt;=U441*0.2,"At Risk","On Track")))</f>
        <v/>
      </c>
    </row>
    <row r="442">
      <c r="K442">
        <f>IF(J442="v4.0",L442,IF(J442="v3.1",M442,IF(J442="Both",L442,IF(AND(L442&lt;&gt;"",M442=""),L442,M442))))</f>
        <v/>
      </c>
      <c r="W442">
        <f>IF(V442&lt;&gt;"",NETWORKDAYS(TODAY(),V442),"")</f>
        <v/>
      </c>
      <c r="X442">
        <f>IF(AN442="Complete","Complete",IF(W442&lt;0,"Overdue",IF(W442&lt;=U442*0.2,"At Risk","On Track")))</f>
        <v/>
      </c>
    </row>
    <row r="443">
      <c r="K443">
        <f>IF(J443="v4.0",L443,IF(J443="v3.1",M443,IF(J443="Both",L443,IF(AND(L443&lt;&gt;"",M443=""),L443,M443))))</f>
        <v/>
      </c>
      <c r="W443">
        <f>IF(V443&lt;&gt;"",NETWORKDAYS(TODAY(),V443),"")</f>
        <v/>
      </c>
      <c r="X443">
        <f>IF(AN443="Complete","Complete",IF(W443&lt;0,"Overdue",IF(W443&lt;=U443*0.2,"At Risk","On Track")))</f>
        <v/>
      </c>
    </row>
    <row r="444">
      <c r="K444">
        <f>IF(J444="v4.0",L444,IF(J444="v3.1",M444,IF(J444="Both",L444,IF(AND(L444&lt;&gt;"",M444=""),L444,M444))))</f>
        <v/>
      </c>
      <c r="W444">
        <f>IF(V444&lt;&gt;"",NETWORKDAYS(TODAY(),V444),"")</f>
        <v/>
      </c>
      <c r="X444">
        <f>IF(AN444="Complete","Complete",IF(W444&lt;0,"Overdue",IF(W444&lt;=U444*0.2,"At Risk","On Track")))</f>
        <v/>
      </c>
    </row>
    <row r="445">
      <c r="K445">
        <f>IF(J445="v4.0",L445,IF(J445="v3.1",M445,IF(J445="Both",L445,IF(AND(L445&lt;&gt;"",M445=""),L445,M445))))</f>
        <v/>
      </c>
      <c r="W445">
        <f>IF(V445&lt;&gt;"",NETWORKDAYS(TODAY(),V445),"")</f>
        <v/>
      </c>
      <c r="X445">
        <f>IF(AN445="Complete","Complete",IF(W445&lt;0,"Overdue",IF(W445&lt;=U445*0.2,"At Risk","On Track")))</f>
        <v/>
      </c>
    </row>
    <row r="446">
      <c r="K446">
        <f>IF(J446="v4.0",L446,IF(J446="v3.1",M446,IF(J446="Both",L446,IF(AND(L446&lt;&gt;"",M446=""),L446,M446))))</f>
        <v/>
      </c>
      <c r="W446">
        <f>IF(V446&lt;&gt;"",NETWORKDAYS(TODAY(),V446),"")</f>
        <v/>
      </c>
      <c r="X446">
        <f>IF(AN446="Complete","Complete",IF(W446&lt;0,"Overdue",IF(W446&lt;=U446*0.2,"At Risk","On Track")))</f>
        <v/>
      </c>
    </row>
    <row r="447">
      <c r="K447">
        <f>IF(J447="v4.0",L447,IF(J447="v3.1",M447,IF(J447="Both",L447,IF(AND(L447&lt;&gt;"",M447=""),L447,M447))))</f>
        <v/>
      </c>
      <c r="W447">
        <f>IF(V447&lt;&gt;"",NETWORKDAYS(TODAY(),V447),"")</f>
        <v/>
      </c>
      <c r="X447">
        <f>IF(AN447="Complete","Complete",IF(W447&lt;0,"Overdue",IF(W447&lt;=U447*0.2,"At Risk","On Track")))</f>
        <v/>
      </c>
    </row>
    <row r="448">
      <c r="K448">
        <f>IF(J448="v4.0",L448,IF(J448="v3.1",M448,IF(J448="Both",L448,IF(AND(L448&lt;&gt;"",M448=""),L448,M448))))</f>
        <v/>
      </c>
      <c r="W448">
        <f>IF(V448&lt;&gt;"",NETWORKDAYS(TODAY(),V448),"")</f>
        <v/>
      </c>
      <c r="X448">
        <f>IF(AN448="Complete","Complete",IF(W448&lt;0,"Overdue",IF(W448&lt;=U448*0.2,"At Risk","On Track")))</f>
        <v/>
      </c>
    </row>
    <row r="449">
      <c r="K449">
        <f>IF(J449="v4.0",L449,IF(J449="v3.1",M449,IF(J449="Both",L449,IF(AND(L449&lt;&gt;"",M449=""),L449,M449))))</f>
        <v/>
      </c>
      <c r="W449">
        <f>IF(V449&lt;&gt;"",NETWORKDAYS(TODAY(),V449),"")</f>
        <v/>
      </c>
      <c r="X449">
        <f>IF(AN449="Complete","Complete",IF(W449&lt;0,"Overdue",IF(W449&lt;=U449*0.2,"At Risk","On Track")))</f>
        <v/>
      </c>
    </row>
    <row r="450">
      <c r="K450">
        <f>IF(J450="v4.0",L450,IF(J450="v3.1",M450,IF(J450="Both",L450,IF(AND(L450&lt;&gt;"",M450=""),L450,M450))))</f>
        <v/>
      </c>
      <c r="W450">
        <f>IF(V450&lt;&gt;"",NETWORKDAYS(TODAY(),V450),"")</f>
        <v/>
      </c>
      <c r="X450">
        <f>IF(AN450="Complete","Complete",IF(W450&lt;0,"Overdue",IF(W450&lt;=U450*0.2,"At Risk","On Track")))</f>
        <v/>
      </c>
    </row>
    <row r="451">
      <c r="K451">
        <f>IF(J451="v4.0",L451,IF(J451="v3.1",M451,IF(J451="Both",L451,IF(AND(L451&lt;&gt;"",M451=""),L451,M451))))</f>
        <v/>
      </c>
      <c r="W451">
        <f>IF(V451&lt;&gt;"",NETWORKDAYS(TODAY(),V451),"")</f>
        <v/>
      </c>
      <c r="X451">
        <f>IF(AN451="Complete","Complete",IF(W451&lt;0,"Overdue",IF(W451&lt;=U451*0.2,"At Risk","On Track")))</f>
        <v/>
      </c>
    </row>
    <row r="452">
      <c r="K452">
        <f>IF(J452="v4.0",L452,IF(J452="v3.1",M452,IF(J452="Both",L452,IF(AND(L452&lt;&gt;"",M452=""),L452,M452))))</f>
        <v/>
      </c>
      <c r="W452">
        <f>IF(V452&lt;&gt;"",NETWORKDAYS(TODAY(),V452),"")</f>
        <v/>
      </c>
      <c r="X452">
        <f>IF(AN452="Complete","Complete",IF(W452&lt;0,"Overdue",IF(W452&lt;=U452*0.2,"At Risk","On Track")))</f>
        <v/>
      </c>
    </row>
    <row r="453">
      <c r="K453">
        <f>IF(J453="v4.0",L453,IF(J453="v3.1",M453,IF(J453="Both",L453,IF(AND(L453&lt;&gt;"",M453=""),L453,M453))))</f>
        <v/>
      </c>
      <c r="W453">
        <f>IF(V453&lt;&gt;"",NETWORKDAYS(TODAY(),V453),"")</f>
        <v/>
      </c>
      <c r="X453">
        <f>IF(AN453="Complete","Complete",IF(W453&lt;0,"Overdue",IF(W453&lt;=U453*0.2,"At Risk","On Track")))</f>
        <v/>
      </c>
    </row>
    <row r="454">
      <c r="K454">
        <f>IF(J454="v4.0",L454,IF(J454="v3.1",M454,IF(J454="Both",L454,IF(AND(L454&lt;&gt;"",M454=""),L454,M454))))</f>
        <v/>
      </c>
      <c r="W454">
        <f>IF(V454&lt;&gt;"",NETWORKDAYS(TODAY(),V454),"")</f>
        <v/>
      </c>
      <c r="X454">
        <f>IF(AN454="Complete","Complete",IF(W454&lt;0,"Overdue",IF(W454&lt;=U454*0.2,"At Risk","On Track")))</f>
        <v/>
      </c>
    </row>
    <row r="455">
      <c r="K455">
        <f>IF(J455="v4.0",L455,IF(J455="v3.1",M455,IF(J455="Both",L455,IF(AND(L455&lt;&gt;"",M455=""),L455,M455))))</f>
        <v/>
      </c>
      <c r="W455">
        <f>IF(V455&lt;&gt;"",NETWORKDAYS(TODAY(),V455),"")</f>
        <v/>
      </c>
      <c r="X455">
        <f>IF(AN455="Complete","Complete",IF(W455&lt;0,"Overdue",IF(W455&lt;=U455*0.2,"At Risk","On Track")))</f>
        <v/>
      </c>
    </row>
    <row r="456">
      <c r="K456">
        <f>IF(J456="v4.0",L456,IF(J456="v3.1",M456,IF(J456="Both",L456,IF(AND(L456&lt;&gt;"",M456=""),L456,M456))))</f>
        <v/>
      </c>
      <c r="W456">
        <f>IF(V456&lt;&gt;"",NETWORKDAYS(TODAY(),V456),"")</f>
        <v/>
      </c>
      <c r="X456">
        <f>IF(AN456="Complete","Complete",IF(W456&lt;0,"Overdue",IF(W456&lt;=U456*0.2,"At Risk","On Track")))</f>
        <v/>
      </c>
    </row>
    <row r="457">
      <c r="K457">
        <f>IF(J457="v4.0",L457,IF(J457="v3.1",M457,IF(J457="Both",L457,IF(AND(L457&lt;&gt;"",M457=""),L457,M457))))</f>
        <v/>
      </c>
      <c r="W457">
        <f>IF(V457&lt;&gt;"",NETWORKDAYS(TODAY(),V457),"")</f>
        <v/>
      </c>
      <c r="X457">
        <f>IF(AN457="Complete","Complete",IF(W457&lt;0,"Overdue",IF(W457&lt;=U457*0.2,"At Risk","On Track")))</f>
        <v/>
      </c>
    </row>
    <row r="458">
      <c r="K458">
        <f>IF(J458="v4.0",L458,IF(J458="v3.1",M458,IF(J458="Both",L458,IF(AND(L458&lt;&gt;"",M458=""),L458,M458))))</f>
        <v/>
      </c>
      <c r="W458">
        <f>IF(V458&lt;&gt;"",NETWORKDAYS(TODAY(),V458),"")</f>
        <v/>
      </c>
      <c r="X458">
        <f>IF(AN458="Complete","Complete",IF(W458&lt;0,"Overdue",IF(W458&lt;=U458*0.2,"At Risk","On Track")))</f>
        <v/>
      </c>
    </row>
    <row r="459">
      <c r="K459">
        <f>IF(J459="v4.0",L459,IF(J459="v3.1",M459,IF(J459="Both",L459,IF(AND(L459&lt;&gt;"",M459=""),L459,M459))))</f>
        <v/>
      </c>
      <c r="W459">
        <f>IF(V459&lt;&gt;"",NETWORKDAYS(TODAY(),V459),"")</f>
        <v/>
      </c>
      <c r="X459">
        <f>IF(AN459="Complete","Complete",IF(W459&lt;0,"Overdue",IF(W459&lt;=U459*0.2,"At Risk","On Track")))</f>
        <v/>
      </c>
    </row>
    <row r="460">
      <c r="K460">
        <f>IF(J460="v4.0",L460,IF(J460="v3.1",M460,IF(J460="Both",L460,IF(AND(L460&lt;&gt;"",M460=""),L460,M460))))</f>
        <v/>
      </c>
      <c r="W460">
        <f>IF(V460&lt;&gt;"",NETWORKDAYS(TODAY(),V460),"")</f>
        <v/>
      </c>
      <c r="X460">
        <f>IF(AN460="Complete","Complete",IF(W460&lt;0,"Overdue",IF(W460&lt;=U460*0.2,"At Risk","On Track")))</f>
        <v/>
      </c>
    </row>
    <row r="461">
      <c r="K461">
        <f>IF(J461="v4.0",L461,IF(J461="v3.1",M461,IF(J461="Both",L461,IF(AND(L461&lt;&gt;"",M461=""),L461,M461))))</f>
        <v/>
      </c>
      <c r="W461">
        <f>IF(V461&lt;&gt;"",NETWORKDAYS(TODAY(),V461),"")</f>
        <v/>
      </c>
      <c r="X461">
        <f>IF(AN461="Complete","Complete",IF(W461&lt;0,"Overdue",IF(W461&lt;=U461*0.2,"At Risk","On Track")))</f>
        <v/>
      </c>
    </row>
    <row r="462">
      <c r="K462">
        <f>IF(J462="v4.0",L462,IF(J462="v3.1",M462,IF(J462="Both",L462,IF(AND(L462&lt;&gt;"",M462=""),L462,M462))))</f>
        <v/>
      </c>
      <c r="W462">
        <f>IF(V462&lt;&gt;"",NETWORKDAYS(TODAY(),V462),"")</f>
        <v/>
      </c>
      <c r="X462">
        <f>IF(AN462="Complete","Complete",IF(W462&lt;0,"Overdue",IF(W462&lt;=U462*0.2,"At Risk","On Track")))</f>
        <v/>
      </c>
    </row>
    <row r="463">
      <c r="K463">
        <f>IF(J463="v4.0",L463,IF(J463="v3.1",M463,IF(J463="Both",L463,IF(AND(L463&lt;&gt;"",M463=""),L463,M463))))</f>
        <v/>
      </c>
      <c r="W463">
        <f>IF(V463&lt;&gt;"",NETWORKDAYS(TODAY(),V463),"")</f>
        <v/>
      </c>
      <c r="X463">
        <f>IF(AN463="Complete","Complete",IF(W463&lt;0,"Overdue",IF(W463&lt;=U463*0.2,"At Risk","On Track")))</f>
        <v/>
      </c>
    </row>
    <row r="464">
      <c r="K464">
        <f>IF(J464="v4.0",L464,IF(J464="v3.1",M464,IF(J464="Both",L464,IF(AND(L464&lt;&gt;"",M464=""),L464,M464))))</f>
        <v/>
      </c>
      <c r="W464">
        <f>IF(V464&lt;&gt;"",NETWORKDAYS(TODAY(),V464),"")</f>
        <v/>
      </c>
      <c r="X464">
        <f>IF(AN464="Complete","Complete",IF(W464&lt;0,"Overdue",IF(W464&lt;=U464*0.2,"At Risk","On Track")))</f>
        <v/>
      </c>
    </row>
    <row r="465">
      <c r="K465">
        <f>IF(J465="v4.0",L465,IF(J465="v3.1",M465,IF(J465="Both",L465,IF(AND(L465&lt;&gt;"",M465=""),L465,M465))))</f>
        <v/>
      </c>
      <c r="W465">
        <f>IF(V465&lt;&gt;"",NETWORKDAYS(TODAY(),V465),"")</f>
        <v/>
      </c>
      <c r="X465">
        <f>IF(AN465="Complete","Complete",IF(W465&lt;0,"Overdue",IF(W465&lt;=U465*0.2,"At Risk","On Track")))</f>
        <v/>
      </c>
    </row>
    <row r="466">
      <c r="K466">
        <f>IF(J466="v4.0",L466,IF(J466="v3.1",M466,IF(J466="Both",L466,IF(AND(L466&lt;&gt;"",M466=""),L466,M466))))</f>
        <v/>
      </c>
      <c r="W466">
        <f>IF(V466&lt;&gt;"",NETWORKDAYS(TODAY(),V466),"")</f>
        <v/>
      </c>
      <c r="X466">
        <f>IF(AN466="Complete","Complete",IF(W466&lt;0,"Overdue",IF(W466&lt;=U466*0.2,"At Risk","On Track")))</f>
        <v/>
      </c>
    </row>
    <row r="467">
      <c r="K467">
        <f>IF(J467="v4.0",L467,IF(J467="v3.1",M467,IF(J467="Both",L467,IF(AND(L467&lt;&gt;"",M467=""),L467,M467))))</f>
        <v/>
      </c>
      <c r="W467">
        <f>IF(V467&lt;&gt;"",NETWORKDAYS(TODAY(),V467),"")</f>
        <v/>
      </c>
      <c r="X467">
        <f>IF(AN467="Complete","Complete",IF(W467&lt;0,"Overdue",IF(W467&lt;=U467*0.2,"At Risk","On Track")))</f>
        <v/>
      </c>
    </row>
    <row r="468">
      <c r="K468">
        <f>IF(J468="v4.0",L468,IF(J468="v3.1",M468,IF(J468="Both",L468,IF(AND(L468&lt;&gt;"",M468=""),L468,M468))))</f>
        <v/>
      </c>
      <c r="W468">
        <f>IF(V468&lt;&gt;"",NETWORKDAYS(TODAY(),V468),"")</f>
        <v/>
      </c>
      <c r="X468">
        <f>IF(AN468="Complete","Complete",IF(W468&lt;0,"Overdue",IF(W468&lt;=U468*0.2,"At Risk","On Track")))</f>
        <v/>
      </c>
    </row>
    <row r="469">
      <c r="K469">
        <f>IF(J469="v4.0",L469,IF(J469="v3.1",M469,IF(J469="Both",L469,IF(AND(L469&lt;&gt;"",M469=""),L469,M469))))</f>
        <v/>
      </c>
      <c r="W469">
        <f>IF(V469&lt;&gt;"",NETWORKDAYS(TODAY(),V469),"")</f>
        <v/>
      </c>
      <c r="X469">
        <f>IF(AN469="Complete","Complete",IF(W469&lt;0,"Overdue",IF(W469&lt;=U469*0.2,"At Risk","On Track")))</f>
        <v/>
      </c>
    </row>
    <row r="470">
      <c r="K470">
        <f>IF(J470="v4.0",L470,IF(J470="v3.1",M470,IF(J470="Both",L470,IF(AND(L470&lt;&gt;"",M470=""),L470,M470))))</f>
        <v/>
      </c>
      <c r="W470">
        <f>IF(V470&lt;&gt;"",NETWORKDAYS(TODAY(),V470),"")</f>
        <v/>
      </c>
      <c r="X470">
        <f>IF(AN470="Complete","Complete",IF(W470&lt;0,"Overdue",IF(W470&lt;=U470*0.2,"At Risk","On Track")))</f>
        <v/>
      </c>
    </row>
    <row r="471">
      <c r="K471">
        <f>IF(J471="v4.0",L471,IF(J471="v3.1",M471,IF(J471="Both",L471,IF(AND(L471&lt;&gt;"",M471=""),L471,M471))))</f>
        <v/>
      </c>
      <c r="W471">
        <f>IF(V471&lt;&gt;"",NETWORKDAYS(TODAY(),V471),"")</f>
        <v/>
      </c>
      <c r="X471">
        <f>IF(AN471="Complete","Complete",IF(W471&lt;0,"Overdue",IF(W471&lt;=U471*0.2,"At Risk","On Track")))</f>
        <v/>
      </c>
    </row>
    <row r="472">
      <c r="K472">
        <f>IF(J472="v4.0",L472,IF(J472="v3.1",M472,IF(J472="Both",L472,IF(AND(L472&lt;&gt;"",M472=""),L472,M472))))</f>
        <v/>
      </c>
      <c r="W472">
        <f>IF(V472&lt;&gt;"",NETWORKDAYS(TODAY(),V472),"")</f>
        <v/>
      </c>
      <c r="X472">
        <f>IF(AN472="Complete","Complete",IF(W472&lt;0,"Overdue",IF(W472&lt;=U472*0.2,"At Risk","On Track")))</f>
        <v/>
      </c>
    </row>
    <row r="473">
      <c r="K473">
        <f>IF(J473="v4.0",L473,IF(J473="v3.1",M473,IF(J473="Both",L473,IF(AND(L473&lt;&gt;"",M473=""),L473,M473))))</f>
        <v/>
      </c>
      <c r="W473">
        <f>IF(V473&lt;&gt;"",NETWORKDAYS(TODAY(),V473),"")</f>
        <v/>
      </c>
      <c r="X473">
        <f>IF(AN473="Complete","Complete",IF(W473&lt;0,"Overdue",IF(W473&lt;=U473*0.2,"At Risk","On Track")))</f>
        <v/>
      </c>
    </row>
    <row r="474">
      <c r="K474">
        <f>IF(J474="v4.0",L474,IF(J474="v3.1",M474,IF(J474="Both",L474,IF(AND(L474&lt;&gt;"",M474=""),L474,M474))))</f>
        <v/>
      </c>
      <c r="W474">
        <f>IF(V474&lt;&gt;"",NETWORKDAYS(TODAY(),V474),"")</f>
        <v/>
      </c>
      <c r="X474">
        <f>IF(AN474="Complete","Complete",IF(W474&lt;0,"Overdue",IF(W474&lt;=U474*0.2,"At Risk","On Track")))</f>
        <v/>
      </c>
    </row>
    <row r="475">
      <c r="K475">
        <f>IF(J475="v4.0",L475,IF(J475="v3.1",M475,IF(J475="Both",L475,IF(AND(L475&lt;&gt;"",M475=""),L475,M475))))</f>
        <v/>
      </c>
      <c r="W475">
        <f>IF(V475&lt;&gt;"",NETWORKDAYS(TODAY(),V475),"")</f>
        <v/>
      </c>
      <c r="X475">
        <f>IF(AN475="Complete","Complete",IF(W475&lt;0,"Overdue",IF(W475&lt;=U475*0.2,"At Risk","On Track")))</f>
        <v/>
      </c>
    </row>
    <row r="476">
      <c r="K476">
        <f>IF(J476="v4.0",L476,IF(J476="v3.1",M476,IF(J476="Both",L476,IF(AND(L476&lt;&gt;"",M476=""),L476,M476))))</f>
        <v/>
      </c>
      <c r="W476">
        <f>IF(V476&lt;&gt;"",NETWORKDAYS(TODAY(),V476),"")</f>
        <v/>
      </c>
      <c r="X476">
        <f>IF(AN476="Complete","Complete",IF(W476&lt;0,"Overdue",IF(W476&lt;=U476*0.2,"At Risk","On Track")))</f>
        <v/>
      </c>
    </row>
    <row r="477">
      <c r="K477">
        <f>IF(J477="v4.0",L477,IF(J477="v3.1",M477,IF(J477="Both",L477,IF(AND(L477&lt;&gt;"",M477=""),L477,M477))))</f>
        <v/>
      </c>
      <c r="W477">
        <f>IF(V477&lt;&gt;"",NETWORKDAYS(TODAY(),V477),"")</f>
        <v/>
      </c>
      <c r="X477">
        <f>IF(AN477="Complete","Complete",IF(W477&lt;0,"Overdue",IF(W477&lt;=U477*0.2,"At Risk","On Track")))</f>
        <v/>
      </c>
    </row>
    <row r="478">
      <c r="K478">
        <f>IF(J478="v4.0",L478,IF(J478="v3.1",M478,IF(J478="Both",L478,IF(AND(L478&lt;&gt;"",M478=""),L478,M478))))</f>
        <v/>
      </c>
      <c r="W478">
        <f>IF(V478&lt;&gt;"",NETWORKDAYS(TODAY(),V478),"")</f>
        <v/>
      </c>
      <c r="X478">
        <f>IF(AN478="Complete","Complete",IF(W478&lt;0,"Overdue",IF(W478&lt;=U478*0.2,"At Risk","On Track")))</f>
        <v/>
      </c>
    </row>
    <row r="479">
      <c r="K479">
        <f>IF(J479="v4.0",L479,IF(J479="v3.1",M479,IF(J479="Both",L479,IF(AND(L479&lt;&gt;"",M479=""),L479,M479))))</f>
        <v/>
      </c>
      <c r="W479">
        <f>IF(V479&lt;&gt;"",NETWORKDAYS(TODAY(),V479),"")</f>
        <v/>
      </c>
      <c r="X479">
        <f>IF(AN479="Complete","Complete",IF(W479&lt;0,"Overdue",IF(W479&lt;=U479*0.2,"At Risk","On Track")))</f>
        <v/>
      </c>
    </row>
    <row r="480">
      <c r="K480">
        <f>IF(J480="v4.0",L480,IF(J480="v3.1",M480,IF(J480="Both",L480,IF(AND(L480&lt;&gt;"",M480=""),L480,M480))))</f>
        <v/>
      </c>
      <c r="W480">
        <f>IF(V480&lt;&gt;"",NETWORKDAYS(TODAY(),V480),"")</f>
        <v/>
      </c>
      <c r="X480">
        <f>IF(AN480="Complete","Complete",IF(W480&lt;0,"Overdue",IF(W480&lt;=U480*0.2,"At Risk","On Track")))</f>
        <v/>
      </c>
    </row>
    <row r="481">
      <c r="K481">
        <f>IF(J481="v4.0",L481,IF(J481="v3.1",M481,IF(J481="Both",L481,IF(AND(L481&lt;&gt;"",M481=""),L481,M481))))</f>
        <v/>
      </c>
      <c r="W481">
        <f>IF(V481&lt;&gt;"",NETWORKDAYS(TODAY(),V481),"")</f>
        <v/>
      </c>
      <c r="X481">
        <f>IF(AN481="Complete","Complete",IF(W481&lt;0,"Overdue",IF(W481&lt;=U481*0.2,"At Risk","On Track")))</f>
        <v/>
      </c>
    </row>
    <row r="482">
      <c r="K482">
        <f>IF(J482="v4.0",L482,IF(J482="v3.1",M482,IF(J482="Both",L482,IF(AND(L482&lt;&gt;"",M482=""),L482,M482))))</f>
        <v/>
      </c>
      <c r="W482">
        <f>IF(V482&lt;&gt;"",NETWORKDAYS(TODAY(),V482),"")</f>
        <v/>
      </c>
      <c r="X482">
        <f>IF(AN482="Complete","Complete",IF(W482&lt;0,"Overdue",IF(W482&lt;=U482*0.2,"At Risk","On Track")))</f>
        <v/>
      </c>
    </row>
    <row r="483">
      <c r="K483">
        <f>IF(J483="v4.0",L483,IF(J483="v3.1",M483,IF(J483="Both",L483,IF(AND(L483&lt;&gt;"",M483=""),L483,M483))))</f>
        <v/>
      </c>
      <c r="W483">
        <f>IF(V483&lt;&gt;"",NETWORKDAYS(TODAY(),V483),"")</f>
        <v/>
      </c>
      <c r="X483">
        <f>IF(AN483="Complete","Complete",IF(W483&lt;0,"Overdue",IF(W483&lt;=U483*0.2,"At Risk","On Track")))</f>
        <v/>
      </c>
    </row>
    <row r="484">
      <c r="K484">
        <f>IF(J484="v4.0",L484,IF(J484="v3.1",M484,IF(J484="Both",L484,IF(AND(L484&lt;&gt;"",M484=""),L484,M484))))</f>
        <v/>
      </c>
      <c r="W484">
        <f>IF(V484&lt;&gt;"",NETWORKDAYS(TODAY(),V484),"")</f>
        <v/>
      </c>
      <c r="X484">
        <f>IF(AN484="Complete","Complete",IF(W484&lt;0,"Overdue",IF(W484&lt;=U484*0.2,"At Risk","On Track")))</f>
        <v/>
      </c>
    </row>
    <row r="485">
      <c r="K485">
        <f>IF(J485="v4.0",L485,IF(J485="v3.1",M485,IF(J485="Both",L485,IF(AND(L485&lt;&gt;"",M485=""),L485,M485))))</f>
        <v/>
      </c>
      <c r="W485">
        <f>IF(V485&lt;&gt;"",NETWORKDAYS(TODAY(),V485),"")</f>
        <v/>
      </c>
      <c r="X485">
        <f>IF(AN485="Complete","Complete",IF(W485&lt;0,"Overdue",IF(W485&lt;=U485*0.2,"At Risk","On Track")))</f>
        <v/>
      </c>
    </row>
    <row r="486">
      <c r="K486">
        <f>IF(J486="v4.0",L486,IF(J486="v3.1",M486,IF(J486="Both",L486,IF(AND(L486&lt;&gt;"",M486=""),L486,M486))))</f>
        <v/>
      </c>
      <c r="W486">
        <f>IF(V486&lt;&gt;"",NETWORKDAYS(TODAY(),V486),"")</f>
        <v/>
      </c>
      <c r="X486">
        <f>IF(AN486="Complete","Complete",IF(W486&lt;0,"Overdue",IF(W486&lt;=U486*0.2,"At Risk","On Track")))</f>
        <v/>
      </c>
    </row>
    <row r="487">
      <c r="K487">
        <f>IF(J487="v4.0",L487,IF(J487="v3.1",M487,IF(J487="Both",L487,IF(AND(L487&lt;&gt;"",M487=""),L487,M487))))</f>
        <v/>
      </c>
      <c r="W487">
        <f>IF(V487&lt;&gt;"",NETWORKDAYS(TODAY(),V487),"")</f>
        <v/>
      </c>
      <c r="X487">
        <f>IF(AN487="Complete","Complete",IF(W487&lt;0,"Overdue",IF(W487&lt;=U487*0.2,"At Risk","On Track")))</f>
        <v/>
      </c>
    </row>
    <row r="488">
      <c r="K488">
        <f>IF(J488="v4.0",L488,IF(J488="v3.1",M488,IF(J488="Both",L488,IF(AND(L488&lt;&gt;"",M488=""),L488,M488))))</f>
        <v/>
      </c>
      <c r="W488">
        <f>IF(V488&lt;&gt;"",NETWORKDAYS(TODAY(),V488),"")</f>
        <v/>
      </c>
      <c r="X488">
        <f>IF(AN488="Complete","Complete",IF(W488&lt;0,"Overdue",IF(W488&lt;=U488*0.2,"At Risk","On Track")))</f>
        <v/>
      </c>
    </row>
    <row r="489">
      <c r="K489">
        <f>IF(J489="v4.0",L489,IF(J489="v3.1",M489,IF(J489="Both",L489,IF(AND(L489&lt;&gt;"",M489=""),L489,M489))))</f>
        <v/>
      </c>
      <c r="W489">
        <f>IF(V489&lt;&gt;"",NETWORKDAYS(TODAY(),V489),"")</f>
        <v/>
      </c>
      <c r="X489">
        <f>IF(AN489="Complete","Complete",IF(W489&lt;0,"Overdue",IF(W489&lt;=U489*0.2,"At Risk","On Track")))</f>
        <v/>
      </c>
    </row>
    <row r="490">
      <c r="K490">
        <f>IF(J490="v4.0",L490,IF(J490="v3.1",M490,IF(J490="Both",L490,IF(AND(L490&lt;&gt;"",M490=""),L490,M490))))</f>
        <v/>
      </c>
      <c r="W490">
        <f>IF(V490&lt;&gt;"",NETWORKDAYS(TODAY(),V490),"")</f>
        <v/>
      </c>
      <c r="X490">
        <f>IF(AN490="Complete","Complete",IF(W490&lt;0,"Overdue",IF(W490&lt;=U490*0.2,"At Risk","On Track")))</f>
        <v/>
      </c>
    </row>
    <row r="491">
      <c r="K491">
        <f>IF(J491="v4.0",L491,IF(J491="v3.1",M491,IF(J491="Both",L491,IF(AND(L491&lt;&gt;"",M491=""),L491,M491))))</f>
        <v/>
      </c>
      <c r="W491">
        <f>IF(V491&lt;&gt;"",NETWORKDAYS(TODAY(),V491),"")</f>
        <v/>
      </c>
      <c r="X491">
        <f>IF(AN491="Complete","Complete",IF(W491&lt;0,"Overdue",IF(W491&lt;=U491*0.2,"At Risk","On Track")))</f>
        <v/>
      </c>
    </row>
    <row r="492">
      <c r="K492">
        <f>IF(J492="v4.0",L492,IF(J492="v3.1",M492,IF(J492="Both",L492,IF(AND(L492&lt;&gt;"",M492=""),L492,M492))))</f>
        <v/>
      </c>
      <c r="W492">
        <f>IF(V492&lt;&gt;"",NETWORKDAYS(TODAY(),V492),"")</f>
        <v/>
      </c>
      <c r="X492">
        <f>IF(AN492="Complete","Complete",IF(W492&lt;0,"Overdue",IF(W492&lt;=U492*0.2,"At Risk","On Track")))</f>
        <v/>
      </c>
    </row>
    <row r="493">
      <c r="K493">
        <f>IF(J493="v4.0",L493,IF(J493="v3.1",M493,IF(J493="Both",L493,IF(AND(L493&lt;&gt;"",M493=""),L493,M493))))</f>
        <v/>
      </c>
      <c r="W493">
        <f>IF(V493&lt;&gt;"",NETWORKDAYS(TODAY(),V493),"")</f>
        <v/>
      </c>
      <c r="X493">
        <f>IF(AN493="Complete","Complete",IF(W493&lt;0,"Overdue",IF(W493&lt;=U493*0.2,"At Risk","On Track")))</f>
        <v/>
      </c>
    </row>
    <row r="494">
      <c r="K494">
        <f>IF(J494="v4.0",L494,IF(J494="v3.1",M494,IF(J494="Both",L494,IF(AND(L494&lt;&gt;"",M494=""),L494,M494))))</f>
        <v/>
      </c>
      <c r="W494">
        <f>IF(V494&lt;&gt;"",NETWORKDAYS(TODAY(),V494),"")</f>
        <v/>
      </c>
      <c r="X494">
        <f>IF(AN494="Complete","Complete",IF(W494&lt;0,"Overdue",IF(W494&lt;=U494*0.2,"At Risk","On Track")))</f>
        <v/>
      </c>
    </row>
    <row r="495">
      <c r="K495">
        <f>IF(J495="v4.0",L495,IF(J495="v3.1",M495,IF(J495="Both",L495,IF(AND(L495&lt;&gt;"",M495=""),L495,M495))))</f>
        <v/>
      </c>
      <c r="W495">
        <f>IF(V495&lt;&gt;"",NETWORKDAYS(TODAY(),V495),"")</f>
        <v/>
      </c>
      <c r="X495">
        <f>IF(AN495="Complete","Complete",IF(W495&lt;0,"Overdue",IF(W495&lt;=U495*0.2,"At Risk","On Track")))</f>
        <v/>
      </c>
    </row>
    <row r="496">
      <c r="K496">
        <f>IF(J496="v4.0",L496,IF(J496="v3.1",M496,IF(J496="Both",L496,IF(AND(L496&lt;&gt;"",M496=""),L496,M496))))</f>
        <v/>
      </c>
      <c r="W496">
        <f>IF(V496&lt;&gt;"",NETWORKDAYS(TODAY(),V496),"")</f>
        <v/>
      </c>
      <c r="X496">
        <f>IF(AN496="Complete","Complete",IF(W496&lt;0,"Overdue",IF(W496&lt;=U496*0.2,"At Risk","On Track")))</f>
        <v/>
      </c>
    </row>
    <row r="497">
      <c r="K497">
        <f>IF(J497="v4.0",L497,IF(J497="v3.1",M497,IF(J497="Both",L497,IF(AND(L497&lt;&gt;"",M497=""),L497,M497))))</f>
        <v/>
      </c>
      <c r="W497">
        <f>IF(V497&lt;&gt;"",NETWORKDAYS(TODAY(),V497),"")</f>
        <v/>
      </c>
      <c r="X497">
        <f>IF(AN497="Complete","Complete",IF(W497&lt;0,"Overdue",IF(W497&lt;=U497*0.2,"At Risk","On Track")))</f>
        <v/>
      </c>
    </row>
    <row r="498">
      <c r="K498">
        <f>IF(J498="v4.0",L498,IF(J498="v3.1",M498,IF(J498="Both",L498,IF(AND(L498&lt;&gt;"",M498=""),L498,M498))))</f>
        <v/>
      </c>
      <c r="W498">
        <f>IF(V498&lt;&gt;"",NETWORKDAYS(TODAY(),V498),"")</f>
        <v/>
      </c>
      <c r="X498">
        <f>IF(AN498="Complete","Complete",IF(W498&lt;0,"Overdue",IF(W498&lt;=U498*0.2,"At Risk","On Track")))</f>
        <v/>
      </c>
    </row>
    <row r="499">
      <c r="K499">
        <f>IF(J499="v4.0",L499,IF(J499="v3.1",M499,IF(J499="Both",L499,IF(AND(L499&lt;&gt;"",M499=""),L499,M499))))</f>
        <v/>
      </c>
      <c r="W499">
        <f>IF(V499&lt;&gt;"",NETWORKDAYS(TODAY(),V499),"")</f>
        <v/>
      </c>
      <c r="X499">
        <f>IF(AN499="Complete","Complete",IF(W499&lt;0,"Overdue",IF(W499&lt;=U499*0.2,"At Risk","On Track")))</f>
        <v/>
      </c>
    </row>
    <row r="500">
      <c r="K500">
        <f>IF(J500="v4.0",L500,IF(J500="v3.1",M500,IF(J500="Both",L500,IF(AND(L500&lt;&gt;"",M500=""),L500,M500))))</f>
        <v/>
      </c>
      <c r="W500">
        <f>IF(V500&lt;&gt;"",NETWORKDAYS(TODAY(),V500),"")</f>
        <v/>
      </c>
      <c r="X500">
        <f>IF(AN500="Complete","Complete",IF(W500&lt;0,"Overdue",IF(W500&lt;=U500*0.2,"At Risk","On Track")))</f>
        <v/>
      </c>
    </row>
    <row r="501">
      <c r="K501">
        <f>IF(J501="v4.0",L501,IF(J501="v3.1",M501,IF(J501="Both",L501,IF(AND(L501&lt;&gt;"",M501=""),L501,M501))))</f>
        <v/>
      </c>
      <c r="W501">
        <f>IF(V501&lt;&gt;"",NETWORKDAYS(TODAY(),V501),"")</f>
        <v/>
      </c>
      <c r="X501">
        <f>IF(AN501="Complete","Complete",IF(W501&lt;0,"Overdue",IF(W501&lt;=U501*0.2,"At Risk","On Track")))</f>
        <v/>
      </c>
    </row>
    <row r="502">
      <c r="K502">
        <f>IF(J502="v4.0",L502,IF(J502="v3.1",M502,IF(J502="Both",L502,IF(AND(L502&lt;&gt;"",M502=""),L502,M502))))</f>
        <v/>
      </c>
      <c r="W502">
        <f>IF(V502&lt;&gt;"",NETWORKDAYS(TODAY(),V502),"")</f>
        <v/>
      </c>
      <c r="X502">
        <f>IF(AN502="Complete","Complete",IF(W502&lt;0,"Overdue",IF(W502&lt;=U502*0.2,"At Risk","On Track")))</f>
        <v/>
      </c>
    </row>
    <row r="503">
      <c r="K503">
        <f>IF(J503="v4.0",L503,IF(J503="v3.1",M503,IF(J503="Both",L503,IF(AND(L503&lt;&gt;"",M503=""),L503,M503))))</f>
        <v/>
      </c>
      <c r="W503">
        <f>IF(V503&lt;&gt;"",NETWORKDAYS(TODAY(),V503),"")</f>
        <v/>
      </c>
      <c r="X503">
        <f>IF(AN503="Complete","Complete",IF(W503&lt;0,"Overdue",IF(W503&lt;=U503*0.2,"At Risk","On Track")))</f>
        <v/>
      </c>
    </row>
    <row r="504">
      <c r="K504">
        <f>IF(J504="v4.0",L504,IF(J504="v3.1",M504,IF(J504="Both",L504,IF(AND(L504&lt;&gt;"",M504=""),L504,M504))))</f>
        <v/>
      </c>
      <c r="W504">
        <f>IF(V504&lt;&gt;"",NETWORKDAYS(TODAY(),V504),"")</f>
        <v/>
      </c>
      <c r="X504">
        <f>IF(AN504="Complete","Complete",IF(W504&lt;0,"Overdue",IF(W504&lt;=U504*0.2,"At Risk","On Track")))</f>
        <v/>
      </c>
    </row>
    <row r="505">
      <c r="K505">
        <f>IF(J505="v4.0",L505,IF(J505="v3.1",M505,IF(J505="Both",L505,IF(AND(L505&lt;&gt;"",M505=""),L505,M505))))</f>
        <v/>
      </c>
      <c r="W505">
        <f>IF(V505&lt;&gt;"",NETWORKDAYS(TODAY(),V505),"")</f>
        <v/>
      </c>
      <c r="X505">
        <f>IF(AN505="Complete","Complete",IF(W505&lt;0,"Overdue",IF(W505&lt;=U505*0.2,"At Risk","On Track")))</f>
        <v/>
      </c>
    </row>
    <row r="506">
      <c r="K506">
        <f>IF(J506="v4.0",L506,IF(J506="v3.1",M506,IF(J506="Both",L506,IF(AND(L506&lt;&gt;"",M506=""),L506,M506))))</f>
        <v/>
      </c>
      <c r="W506">
        <f>IF(V506&lt;&gt;"",NETWORKDAYS(TODAY(),V506),"")</f>
        <v/>
      </c>
      <c r="X506">
        <f>IF(AN506="Complete","Complete",IF(W506&lt;0,"Overdue",IF(W506&lt;=U506*0.2,"At Risk","On Track")))</f>
        <v/>
      </c>
    </row>
    <row r="507">
      <c r="K507">
        <f>IF(J507="v4.0",L507,IF(J507="v3.1",M507,IF(J507="Both",L507,IF(AND(L507&lt;&gt;"",M507=""),L507,M507))))</f>
        <v/>
      </c>
      <c r="W507">
        <f>IF(V507&lt;&gt;"",NETWORKDAYS(TODAY(),V507),"")</f>
        <v/>
      </c>
      <c r="X507">
        <f>IF(AN507="Complete","Complete",IF(W507&lt;0,"Overdue",IF(W507&lt;=U507*0.2,"At Risk","On Track")))</f>
        <v/>
      </c>
    </row>
    <row r="508">
      <c r="K508">
        <f>IF(J508="v4.0",L508,IF(J508="v3.1",M508,IF(J508="Both",L508,IF(AND(L508&lt;&gt;"",M508=""),L508,M508))))</f>
        <v/>
      </c>
      <c r="W508">
        <f>IF(V508&lt;&gt;"",NETWORKDAYS(TODAY(),V508),"")</f>
        <v/>
      </c>
      <c r="X508">
        <f>IF(AN508="Complete","Complete",IF(W508&lt;0,"Overdue",IF(W508&lt;=U508*0.2,"At Risk","On Track")))</f>
        <v/>
      </c>
    </row>
    <row r="509">
      <c r="K509">
        <f>IF(J509="v4.0",L509,IF(J509="v3.1",M509,IF(J509="Both",L509,IF(AND(L509&lt;&gt;"",M509=""),L509,M509))))</f>
        <v/>
      </c>
      <c r="W509">
        <f>IF(V509&lt;&gt;"",NETWORKDAYS(TODAY(),V509),"")</f>
        <v/>
      </c>
      <c r="X509">
        <f>IF(AN509="Complete","Complete",IF(W509&lt;0,"Overdue",IF(W509&lt;=U509*0.2,"At Risk","On Track")))</f>
        <v/>
      </c>
    </row>
    <row r="510">
      <c r="K510">
        <f>IF(J510="v4.0",L510,IF(J510="v3.1",M510,IF(J510="Both",L510,IF(AND(L510&lt;&gt;"",M510=""),L510,M510))))</f>
        <v/>
      </c>
      <c r="W510">
        <f>IF(V510&lt;&gt;"",NETWORKDAYS(TODAY(),V510),"")</f>
        <v/>
      </c>
      <c r="X510">
        <f>IF(AN510="Complete","Complete",IF(W510&lt;0,"Overdue",IF(W510&lt;=U510*0.2,"At Risk","On Track")))</f>
        <v/>
      </c>
    </row>
    <row r="511">
      <c r="K511">
        <f>IF(J511="v4.0",L511,IF(J511="v3.1",M511,IF(J511="Both",L511,IF(AND(L511&lt;&gt;"",M511=""),L511,M511))))</f>
        <v/>
      </c>
      <c r="W511">
        <f>IF(V511&lt;&gt;"",NETWORKDAYS(TODAY(),V511),"")</f>
        <v/>
      </c>
      <c r="X511">
        <f>IF(AN511="Complete","Complete",IF(W511&lt;0,"Overdue",IF(W511&lt;=U511*0.2,"At Risk","On Track")))</f>
        <v/>
      </c>
    </row>
    <row r="512">
      <c r="K512">
        <f>IF(J512="v4.0",L512,IF(J512="v3.1",M512,IF(J512="Both",L512,IF(AND(L512&lt;&gt;"",M512=""),L512,M512))))</f>
        <v/>
      </c>
      <c r="W512">
        <f>IF(V512&lt;&gt;"",NETWORKDAYS(TODAY(),V512),"")</f>
        <v/>
      </c>
      <c r="X512">
        <f>IF(AN512="Complete","Complete",IF(W512&lt;0,"Overdue",IF(W512&lt;=U512*0.2,"At Risk","On Track")))</f>
        <v/>
      </c>
    </row>
    <row r="513">
      <c r="K513">
        <f>IF(J513="v4.0",L513,IF(J513="v3.1",M513,IF(J513="Both",L513,IF(AND(L513&lt;&gt;"",M513=""),L513,M513))))</f>
        <v/>
      </c>
      <c r="W513">
        <f>IF(V513&lt;&gt;"",NETWORKDAYS(TODAY(),V513),"")</f>
        <v/>
      </c>
      <c r="X513">
        <f>IF(AN513="Complete","Complete",IF(W513&lt;0,"Overdue",IF(W513&lt;=U513*0.2,"At Risk","On Track")))</f>
        <v/>
      </c>
    </row>
    <row r="514">
      <c r="K514">
        <f>IF(J514="v4.0",L514,IF(J514="v3.1",M514,IF(J514="Both",L514,IF(AND(L514&lt;&gt;"",M514=""),L514,M514))))</f>
        <v/>
      </c>
      <c r="W514">
        <f>IF(V514&lt;&gt;"",NETWORKDAYS(TODAY(),V514),"")</f>
        <v/>
      </c>
      <c r="X514">
        <f>IF(AN514="Complete","Complete",IF(W514&lt;0,"Overdue",IF(W514&lt;=U514*0.2,"At Risk","On Track")))</f>
        <v/>
      </c>
    </row>
    <row r="515">
      <c r="K515">
        <f>IF(J515="v4.0",L515,IF(J515="v3.1",M515,IF(J515="Both",L515,IF(AND(L515&lt;&gt;"",M515=""),L515,M515))))</f>
        <v/>
      </c>
      <c r="W515">
        <f>IF(V515&lt;&gt;"",NETWORKDAYS(TODAY(),V515),"")</f>
        <v/>
      </c>
      <c r="X515">
        <f>IF(AN515="Complete","Complete",IF(W515&lt;0,"Overdue",IF(W515&lt;=U515*0.2,"At Risk","On Track")))</f>
        <v/>
      </c>
    </row>
    <row r="516">
      <c r="K516">
        <f>IF(J516="v4.0",L516,IF(J516="v3.1",M516,IF(J516="Both",L516,IF(AND(L516&lt;&gt;"",M516=""),L516,M516))))</f>
        <v/>
      </c>
      <c r="W516">
        <f>IF(V516&lt;&gt;"",NETWORKDAYS(TODAY(),V516),"")</f>
        <v/>
      </c>
      <c r="X516">
        <f>IF(AN516="Complete","Complete",IF(W516&lt;0,"Overdue",IF(W516&lt;=U516*0.2,"At Risk","On Track")))</f>
        <v/>
      </c>
    </row>
    <row r="517">
      <c r="K517">
        <f>IF(J517="v4.0",L517,IF(J517="v3.1",M517,IF(J517="Both",L517,IF(AND(L517&lt;&gt;"",M517=""),L517,M517))))</f>
        <v/>
      </c>
      <c r="W517">
        <f>IF(V517&lt;&gt;"",NETWORKDAYS(TODAY(),V517),"")</f>
        <v/>
      </c>
      <c r="X517">
        <f>IF(AN517="Complete","Complete",IF(W517&lt;0,"Overdue",IF(W517&lt;=U517*0.2,"At Risk","On Track")))</f>
        <v/>
      </c>
    </row>
    <row r="518">
      <c r="K518">
        <f>IF(J518="v4.0",L518,IF(J518="v3.1",M518,IF(J518="Both",L518,IF(AND(L518&lt;&gt;"",M518=""),L518,M518))))</f>
        <v/>
      </c>
      <c r="W518">
        <f>IF(V518&lt;&gt;"",NETWORKDAYS(TODAY(),V518),"")</f>
        <v/>
      </c>
      <c r="X518">
        <f>IF(AN518="Complete","Complete",IF(W518&lt;0,"Overdue",IF(W518&lt;=U518*0.2,"At Risk","On Track")))</f>
        <v/>
      </c>
    </row>
    <row r="519">
      <c r="K519">
        <f>IF(J519="v4.0",L519,IF(J519="v3.1",M519,IF(J519="Both",L519,IF(AND(L519&lt;&gt;"",M519=""),L519,M519))))</f>
        <v/>
      </c>
      <c r="W519">
        <f>IF(V519&lt;&gt;"",NETWORKDAYS(TODAY(),V519),"")</f>
        <v/>
      </c>
      <c r="X519">
        <f>IF(AN519="Complete","Complete",IF(W519&lt;0,"Overdue",IF(W519&lt;=U519*0.2,"At Risk","On Track")))</f>
        <v/>
      </c>
    </row>
    <row r="520">
      <c r="K520">
        <f>IF(J520="v4.0",L520,IF(J520="v3.1",M520,IF(J520="Both",L520,IF(AND(L520&lt;&gt;"",M520=""),L520,M520))))</f>
        <v/>
      </c>
      <c r="W520">
        <f>IF(V520&lt;&gt;"",NETWORKDAYS(TODAY(),V520),"")</f>
        <v/>
      </c>
      <c r="X520">
        <f>IF(AN520="Complete","Complete",IF(W520&lt;0,"Overdue",IF(W520&lt;=U520*0.2,"At Risk","On Track")))</f>
        <v/>
      </c>
    </row>
    <row r="521">
      <c r="K521">
        <f>IF(J521="v4.0",L521,IF(J521="v3.1",M521,IF(J521="Both",L521,IF(AND(L521&lt;&gt;"",M521=""),L521,M521))))</f>
        <v/>
      </c>
      <c r="W521">
        <f>IF(V521&lt;&gt;"",NETWORKDAYS(TODAY(),V521),"")</f>
        <v/>
      </c>
      <c r="X521">
        <f>IF(AN521="Complete","Complete",IF(W521&lt;0,"Overdue",IF(W521&lt;=U521*0.2,"At Risk","On Track")))</f>
        <v/>
      </c>
    </row>
    <row r="522">
      <c r="K522">
        <f>IF(J522="v4.0",L522,IF(J522="v3.1",M522,IF(J522="Both",L522,IF(AND(L522&lt;&gt;"",M522=""),L522,M522))))</f>
        <v/>
      </c>
      <c r="W522">
        <f>IF(V522&lt;&gt;"",NETWORKDAYS(TODAY(),V522),"")</f>
        <v/>
      </c>
      <c r="X522">
        <f>IF(AN522="Complete","Complete",IF(W522&lt;0,"Overdue",IF(W522&lt;=U522*0.2,"At Risk","On Track")))</f>
        <v/>
      </c>
    </row>
    <row r="523">
      <c r="K523">
        <f>IF(J523="v4.0",L523,IF(J523="v3.1",M523,IF(J523="Both",L523,IF(AND(L523&lt;&gt;"",M523=""),L523,M523))))</f>
        <v/>
      </c>
      <c r="W523">
        <f>IF(V523&lt;&gt;"",NETWORKDAYS(TODAY(),V523),"")</f>
        <v/>
      </c>
      <c r="X523">
        <f>IF(AN523="Complete","Complete",IF(W523&lt;0,"Overdue",IF(W523&lt;=U523*0.2,"At Risk","On Track")))</f>
        <v/>
      </c>
    </row>
    <row r="524">
      <c r="K524">
        <f>IF(J524="v4.0",L524,IF(J524="v3.1",M524,IF(J524="Both",L524,IF(AND(L524&lt;&gt;"",M524=""),L524,M524))))</f>
        <v/>
      </c>
      <c r="W524">
        <f>IF(V524&lt;&gt;"",NETWORKDAYS(TODAY(),V524),"")</f>
        <v/>
      </c>
      <c r="X524">
        <f>IF(AN524="Complete","Complete",IF(W524&lt;0,"Overdue",IF(W524&lt;=U524*0.2,"At Risk","On Track")))</f>
        <v/>
      </c>
    </row>
    <row r="525">
      <c r="K525">
        <f>IF(J525="v4.0",L525,IF(J525="v3.1",M525,IF(J525="Both",L525,IF(AND(L525&lt;&gt;"",M525=""),L525,M525))))</f>
        <v/>
      </c>
      <c r="W525">
        <f>IF(V525&lt;&gt;"",NETWORKDAYS(TODAY(),V525),"")</f>
        <v/>
      </c>
      <c r="X525">
        <f>IF(AN525="Complete","Complete",IF(W525&lt;0,"Overdue",IF(W525&lt;=U525*0.2,"At Risk","On Track")))</f>
        <v/>
      </c>
    </row>
    <row r="526">
      <c r="K526">
        <f>IF(J526="v4.0",L526,IF(J526="v3.1",M526,IF(J526="Both",L526,IF(AND(L526&lt;&gt;"",M526=""),L526,M526))))</f>
        <v/>
      </c>
      <c r="W526">
        <f>IF(V526&lt;&gt;"",NETWORKDAYS(TODAY(),V526),"")</f>
        <v/>
      </c>
      <c r="X526">
        <f>IF(AN526="Complete","Complete",IF(W526&lt;0,"Overdue",IF(W526&lt;=U526*0.2,"At Risk","On Track")))</f>
        <v/>
      </c>
    </row>
    <row r="527">
      <c r="K527">
        <f>IF(J527="v4.0",L527,IF(J527="v3.1",M527,IF(J527="Both",L527,IF(AND(L527&lt;&gt;"",M527=""),L527,M527))))</f>
        <v/>
      </c>
      <c r="W527">
        <f>IF(V527&lt;&gt;"",NETWORKDAYS(TODAY(),V527),"")</f>
        <v/>
      </c>
      <c r="X527">
        <f>IF(AN527="Complete","Complete",IF(W527&lt;0,"Overdue",IF(W527&lt;=U527*0.2,"At Risk","On Track")))</f>
        <v/>
      </c>
    </row>
    <row r="528">
      <c r="K528">
        <f>IF(J528="v4.0",L528,IF(J528="v3.1",M528,IF(J528="Both",L528,IF(AND(L528&lt;&gt;"",M528=""),L528,M528))))</f>
        <v/>
      </c>
      <c r="W528">
        <f>IF(V528&lt;&gt;"",NETWORKDAYS(TODAY(),V528),"")</f>
        <v/>
      </c>
      <c r="X528">
        <f>IF(AN528="Complete","Complete",IF(W528&lt;0,"Overdue",IF(W528&lt;=U528*0.2,"At Risk","On Track")))</f>
        <v/>
      </c>
    </row>
    <row r="529">
      <c r="K529">
        <f>IF(J529="v4.0",L529,IF(J529="v3.1",M529,IF(J529="Both",L529,IF(AND(L529&lt;&gt;"",M529=""),L529,M529))))</f>
        <v/>
      </c>
      <c r="W529">
        <f>IF(V529&lt;&gt;"",NETWORKDAYS(TODAY(),V529),"")</f>
        <v/>
      </c>
      <c r="X529">
        <f>IF(AN529="Complete","Complete",IF(W529&lt;0,"Overdue",IF(W529&lt;=U529*0.2,"At Risk","On Track")))</f>
        <v/>
      </c>
    </row>
    <row r="530">
      <c r="K530">
        <f>IF(J530="v4.0",L530,IF(J530="v3.1",M530,IF(J530="Both",L530,IF(AND(L530&lt;&gt;"",M530=""),L530,M530))))</f>
        <v/>
      </c>
      <c r="W530">
        <f>IF(V530&lt;&gt;"",NETWORKDAYS(TODAY(),V530),"")</f>
        <v/>
      </c>
      <c r="X530">
        <f>IF(AN530="Complete","Complete",IF(W530&lt;0,"Overdue",IF(W530&lt;=U530*0.2,"At Risk","On Track")))</f>
        <v/>
      </c>
    </row>
    <row r="531">
      <c r="K531">
        <f>IF(J531="v4.0",L531,IF(J531="v3.1",M531,IF(J531="Both",L531,IF(AND(L531&lt;&gt;"",M531=""),L531,M531))))</f>
        <v/>
      </c>
      <c r="W531">
        <f>IF(V531&lt;&gt;"",NETWORKDAYS(TODAY(),V531),"")</f>
        <v/>
      </c>
      <c r="X531">
        <f>IF(AN531="Complete","Complete",IF(W531&lt;0,"Overdue",IF(W531&lt;=U531*0.2,"At Risk","On Track")))</f>
        <v/>
      </c>
    </row>
    <row r="532">
      <c r="K532">
        <f>IF(J532="v4.0",L532,IF(J532="v3.1",M532,IF(J532="Both",L532,IF(AND(L532&lt;&gt;"",M532=""),L532,M532))))</f>
        <v/>
      </c>
      <c r="W532">
        <f>IF(V532&lt;&gt;"",NETWORKDAYS(TODAY(),V532),"")</f>
        <v/>
      </c>
      <c r="X532">
        <f>IF(AN532="Complete","Complete",IF(W532&lt;0,"Overdue",IF(W532&lt;=U532*0.2,"At Risk","On Track")))</f>
        <v/>
      </c>
    </row>
    <row r="533">
      <c r="K533">
        <f>IF(J533="v4.0",L533,IF(J533="v3.1",M533,IF(J533="Both",L533,IF(AND(L533&lt;&gt;"",M533=""),L533,M533))))</f>
        <v/>
      </c>
      <c r="W533">
        <f>IF(V533&lt;&gt;"",NETWORKDAYS(TODAY(),V533),"")</f>
        <v/>
      </c>
      <c r="X533">
        <f>IF(AN533="Complete","Complete",IF(W533&lt;0,"Overdue",IF(W533&lt;=U533*0.2,"At Risk","On Track")))</f>
        <v/>
      </c>
    </row>
    <row r="534">
      <c r="K534">
        <f>IF(J534="v4.0",L534,IF(J534="v3.1",M534,IF(J534="Both",L534,IF(AND(L534&lt;&gt;"",M534=""),L534,M534))))</f>
        <v/>
      </c>
      <c r="W534">
        <f>IF(V534&lt;&gt;"",NETWORKDAYS(TODAY(),V534),"")</f>
        <v/>
      </c>
      <c r="X534">
        <f>IF(AN534="Complete","Complete",IF(W534&lt;0,"Overdue",IF(W534&lt;=U534*0.2,"At Risk","On Track")))</f>
        <v/>
      </c>
    </row>
    <row r="535">
      <c r="K535">
        <f>IF(J535="v4.0",L535,IF(J535="v3.1",M535,IF(J535="Both",L535,IF(AND(L535&lt;&gt;"",M535=""),L535,M535))))</f>
        <v/>
      </c>
      <c r="W535">
        <f>IF(V535&lt;&gt;"",NETWORKDAYS(TODAY(),V535),"")</f>
        <v/>
      </c>
      <c r="X535">
        <f>IF(AN535="Complete","Complete",IF(W535&lt;0,"Overdue",IF(W535&lt;=U535*0.2,"At Risk","On Track")))</f>
        <v/>
      </c>
    </row>
    <row r="536">
      <c r="K536">
        <f>IF(J536="v4.0",L536,IF(J536="v3.1",M536,IF(J536="Both",L536,IF(AND(L536&lt;&gt;"",M536=""),L536,M536))))</f>
        <v/>
      </c>
      <c r="W536">
        <f>IF(V536&lt;&gt;"",NETWORKDAYS(TODAY(),V536),"")</f>
        <v/>
      </c>
      <c r="X536">
        <f>IF(AN536="Complete","Complete",IF(W536&lt;0,"Overdue",IF(W536&lt;=U536*0.2,"At Risk","On Track")))</f>
        <v/>
      </c>
    </row>
    <row r="537">
      <c r="K537">
        <f>IF(J537="v4.0",L537,IF(J537="v3.1",M537,IF(J537="Both",L537,IF(AND(L537&lt;&gt;"",M537=""),L537,M537))))</f>
        <v/>
      </c>
      <c r="W537">
        <f>IF(V537&lt;&gt;"",NETWORKDAYS(TODAY(),V537),"")</f>
        <v/>
      </c>
      <c r="X537">
        <f>IF(AN537="Complete","Complete",IF(W537&lt;0,"Overdue",IF(W537&lt;=U537*0.2,"At Risk","On Track")))</f>
        <v/>
      </c>
    </row>
    <row r="538">
      <c r="K538">
        <f>IF(J538="v4.0",L538,IF(J538="v3.1",M538,IF(J538="Both",L538,IF(AND(L538&lt;&gt;"",M538=""),L538,M538))))</f>
        <v/>
      </c>
      <c r="W538">
        <f>IF(V538&lt;&gt;"",NETWORKDAYS(TODAY(),V538),"")</f>
        <v/>
      </c>
      <c r="X538">
        <f>IF(AN538="Complete","Complete",IF(W538&lt;0,"Overdue",IF(W538&lt;=U538*0.2,"At Risk","On Track")))</f>
        <v/>
      </c>
    </row>
    <row r="539">
      <c r="K539">
        <f>IF(J539="v4.0",L539,IF(J539="v3.1",M539,IF(J539="Both",L539,IF(AND(L539&lt;&gt;"",M539=""),L539,M539))))</f>
        <v/>
      </c>
      <c r="W539">
        <f>IF(V539&lt;&gt;"",NETWORKDAYS(TODAY(),V539),"")</f>
        <v/>
      </c>
      <c r="X539">
        <f>IF(AN539="Complete","Complete",IF(W539&lt;0,"Overdue",IF(W539&lt;=U539*0.2,"At Risk","On Track")))</f>
        <v/>
      </c>
    </row>
    <row r="540">
      <c r="K540">
        <f>IF(J540="v4.0",L540,IF(J540="v3.1",M540,IF(J540="Both",L540,IF(AND(L540&lt;&gt;"",M540=""),L540,M540))))</f>
        <v/>
      </c>
      <c r="W540">
        <f>IF(V540&lt;&gt;"",NETWORKDAYS(TODAY(),V540),"")</f>
        <v/>
      </c>
      <c r="X540">
        <f>IF(AN540="Complete","Complete",IF(W540&lt;0,"Overdue",IF(W540&lt;=U540*0.2,"At Risk","On Track")))</f>
        <v/>
      </c>
    </row>
    <row r="541">
      <c r="K541">
        <f>IF(J541="v4.0",L541,IF(J541="v3.1",M541,IF(J541="Both",L541,IF(AND(L541&lt;&gt;"",M541=""),L541,M541))))</f>
        <v/>
      </c>
      <c r="W541">
        <f>IF(V541&lt;&gt;"",NETWORKDAYS(TODAY(),V541),"")</f>
        <v/>
      </c>
      <c r="X541">
        <f>IF(AN541="Complete","Complete",IF(W541&lt;0,"Overdue",IF(W541&lt;=U541*0.2,"At Risk","On Track")))</f>
        <v/>
      </c>
    </row>
    <row r="542">
      <c r="K542">
        <f>IF(J542="v4.0",L542,IF(J542="v3.1",M542,IF(J542="Both",L542,IF(AND(L542&lt;&gt;"",M542=""),L542,M542))))</f>
        <v/>
      </c>
      <c r="W542">
        <f>IF(V542&lt;&gt;"",NETWORKDAYS(TODAY(),V542),"")</f>
        <v/>
      </c>
      <c r="X542">
        <f>IF(AN542="Complete","Complete",IF(W542&lt;0,"Overdue",IF(W542&lt;=U542*0.2,"At Risk","On Track")))</f>
        <v/>
      </c>
    </row>
    <row r="543">
      <c r="K543">
        <f>IF(J543="v4.0",L543,IF(J543="v3.1",M543,IF(J543="Both",L543,IF(AND(L543&lt;&gt;"",M543=""),L543,M543))))</f>
        <v/>
      </c>
      <c r="W543">
        <f>IF(V543&lt;&gt;"",NETWORKDAYS(TODAY(),V543),"")</f>
        <v/>
      </c>
      <c r="X543">
        <f>IF(AN543="Complete","Complete",IF(W543&lt;0,"Overdue",IF(W543&lt;=U543*0.2,"At Risk","On Track")))</f>
        <v/>
      </c>
    </row>
    <row r="544">
      <c r="K544">
        <f>IF(J544="v4.0",L544,IF(J544="v3.1",M544,IF(J544="Both",L544,IF(AND(L544&lt;&gt;"",M544=""),L544,M544))))</f>
        <v/>
      </c>
      <c r="W544">
        <f>IF(V544&lt;&gt;"",NETWORKDAYS(TODAY(),V544),"")</f>
        <v/>
      </c>
      <c r="X544">
        <f>IF(AN544="Complete","Complete",IF(W544&lt;0,"Overdue",IF(W544&lt;=U544*0.2,"At Risk","On Track")))</f>
        <v/>
      </c>
    </row>
    <row r="545">
      <c r="K545">
        <f>IF(J545="v4.0",L545,IF(J545="v3.1",M545,IF(J545="Both",L545,IF(AND(L545&lt;&gt;"",M545=""),L545,M545))))</f>
        <v/>
      </c>
      <c r="W545">
        <f>IF(V545&lt;&gt;"",NETWORKDAYS(TODAY(),V545),"")</f>
        <v/>
      </c>
      <c r="X545">
        <f>IF(AN545="Complete","Complete",IF(W545&lt;0,"Overdue",IF(W545&lt;=U545*0.2,"At Risk","On Track")))</f>
        <v/>
      </c>
    </row>
    <row r="546">
      <c r="K546">
        <f>IF(J546="v4.0",L546,IF(J546="v3.1",M546,IF(J546="Both",L546,IF(AND(L546&lt;&gt;"",M546=""),L546,M546))))</f>
        <v/>
      </c>
      <c r="W546">
        <f>IF(V546&lt;&gt;"",NETWORKDAYS(TODAY(),V546),"")</f>
        <v/>
      </c>
      <c r="X546">
        <f>IF(AN546="Complete","Complete",IF(W546&lt;0,"Overdue",IF(W546&lt;=U546*0.2,"At Risk","On Track")))</f>
        <v/>
      </c>
    </row>
    <row r="547">
      <c r="K547">
        <f>IF(J547="v4.0",L547,IF(J547="v3.1",M547,IF(J547="Both",L547,IF(AND(L547&lt;&gt;"",M547=""),L547,M547))))</f>
        <v/>
      </c>
      <c r="W547">
        <f>IF(V547&lt;&gt;"",NETWORKDAYS(TODAY(),V547),"")</f>
        <v/>
      </c>
      <c r="X547">
        <f>IF(AN547="Complete","Complete",IF(W547&lt;0,"Overdue",IF(W547&lt;=U547*0.2,"At Risk","On Track")))</f>
        <v/>
      </c>
    </row>
    <row r="548">
      <c r="K548">
        <f>IF(J548="v4.0",L548,IF(J548="v3.1",M548,IF(J548="Both",L548,IF(AND(L548&lt;&gt;"",M548=""),L548,M548))))</f>
        <v/>
      </c>
      <c r="W548">
        <f>IF(V548&lt;&gt;"",NETWORKDAYS(TODAY(),V548),"")</f>
        <v/>
      </c>
      <c r="X548">
        <f>IF(AN548="Complete","Complete",IF(W548&lt;0,"Overdue",IF(W548&lt;=U548*0.2,"At Risk","On Track")))</f>
        <v/>
      </c>
    </row>
    <row r="549">
      <c r="K549">
        <f>IF(J549="v4.0",L549,IF(J549="v3.1",M549,IF(J549="Both",L549,IF(AND(L549&lt;&gt;"",M549=""),L549,M549))))</f>
        <v/>
      </c>
      <c r="W549">
        <f>IF(V549&lt;&gt;"",NETWORKDAYS(TODAY(),V549),"")</f>
        <v/>
      </c>
      <c r="X549">
        <f>IF(AN549="Complete","Complete",IF(W549&lt;0,"Overdue",IF(W549&lt;=U549*0.2,"At Risk","On Track")))</f>
        <v/>
      </c>
    </row>
    <row r="550">
      <c r="K550">
        <f>IF(J550="v4.0",L550,IF(J550="v3.1",M550,IF(J550="Both",L550,IF(AND(L550&lt;&gt;"",M550=""),L550,M550))))</f>
        <v/>
      </c>
      <c r="W550">
        <f>IF(V550&lt;&gt;"",NETWORKDAYS(TODAY(),V550),"")</f>
        <v/>
      </c>
      <c r="X550">
        <f>IF(AN550="Complete","Complete",IF(W550&lt;0,"Overdue",IF(W550&lt;=U550*0.2,"At Risk","On Track")))</f>
        <v/>
      </c>
    </row>
    <row r="551">
      <c r="K551">
        <f>IF(J551="v4.0",L551,IF(J551="v3.1",M551,IF(J551="Both",L551,IF(AND(L551&lt;&gt;"",M551=""),L551,M551))))</f>
        <v/>
      </c>
      <c r="W551">
        <f>IF(V551&lt;&gt;"",NETWORKDAYS(TODAY(),V551),"")</f>
        <v/>
      </c>
      <c r="X551">
        <f>IF(AN551="Complete","Complete",IF(W551&lt;0,"Overdue",IF(W551&lt;=U551*0.2,"At Risk","On Track")))</f>
        <v/>
      </c>
    </row>
    <row r="552">
      <c r="K552">
        <f>IF(J552="v4.0",L552,IF(J552="v3.1",M552,IF(J552="Both",L552,IF(AND(L552&lt;&gt;"",M552=""),L552,M552))))</f>
        <v/>
      </c>
      <c r="W552">
        <f>IF(V552&lt;&gt;"",NETWORKDAYS(TODAY(),V552),"")</f>
        <v/>
      </c>
      <c r="X552">
        <f>IF(AN552="Complete","Complete",IF(W552&lt;0,"Overdue",IF(W552&lt;=U552*0.2,"At Risk","On Track")))</f>
        <v/>
      </c>
    </row>
    <row r="553">
      <c r="K553">
        <f>IF(J553="v4.0",L553,IF(J553="v3.1",M553,IF(J553="Both",L553,IF(AND(L553&lt;&gt;"",M553=""),L553,M553))))</f>
        <v/>
      </c>
      <c r="W553">
        <f>IF(V553&lt;&gt;"",NETWORKDAYS(TODAY(),V553),"")</f>
        <v/>
      </c>
      <c r="X553">
        <f>IF(AN553="Complete","Complete",IF(W553&lt;0,"Overdue",IF(W553&lt;=U553*0.2,"At Risk","On Track")))</f>
        <v/>
      </c>
    </row>
    <row r="554">
      <c r="K554">
        <f>IF(J554="v4.0",L554,IF(J554="v3.1",M554,IF(J554="Both",L554,IF(AND(L554&lt;&gt;"",M554=""),L554,M554))))</f>
        <v/>
      </c>
      <c r="W554">
        <f>IF(V554&lt;&gt;"",NETWORKDAYS(TODAY(),V554),"")</f>
        <v/>
      </c>
      <c r="X554">
        <f>IF(AN554="Complete","Complete",IF(W554&lt;0,"Overdue",IF(W554&lt;=U554*0.2,"At Risk","On Track")))</f>
        <v/>
      </c>
    </row>
    <row r="555">
      <c r="K555">
        <f>IF(J555="v4.0",L555,IF(J555="v3.1",M555,IF(J555="Both",L555,IF(AND(L555&lt;&gt;"",M555=""),L555,M555))))</f>
        <v/>
      </c>
      <c r="W555">
        <f>IF(V555&lt;&gt;"",NETWORKDAYS(TODAY(),V555),"")</f>
        <v/>
      </c>
      <c r="X555">
        <f>IF(AN555="Complete","Complete",IF(W555&lt;0,"Overdue",IF(W555&lt;=U555*0.2,"At Risk","On Track")))</f>
        <v/>
      </c>
    </row>
    <row r="556">
      <c r="K556">
        <f>IF(J556="v4.0",L556,IF(J556="v3.1",M556,IF(J556="Both",L556,IF(AND(L556&lt;&gt;"",M556=""),L556,M556))))</f>
        <v/>
      </c>
      <c r="W556">
        <f>IF(V556&lt;&gt;"",NETWORKDAYS(TODAY(),V556),"")</f>
        <v/>
      </c>
      <c r="X556">
        <f>IF(AN556="Complete","Complete",IF(W556&lt;0,"Overdue",IF(W556&lt;=U556*0.2,"At Risk","On Track")))</f>
        <v/>
      </c>
    </row>
    <row r="557">
      <c r="K557">
        <f>IF(J557="v4.0",L557,IF(J557="v3.1",M557,IF(J557="Both",L557,IF(AND(L557&lt;&gt;"",M557=""),L557,M557))))</f>
        <v/>
      </c>
      <c r="W557">
        <f>IF(V557&lt;&gt;"",NETWORKDAYS(TODAY(),V557),"")</f>
        <v/>
      </c>
      <c r="X557">
        <f>IF(AN557="Complete","Complete",IF(W557&lt;0,"Overdue",IF(W557&lt;=U557*0.2,"At Risk","On Track")))</f>
        <v/>
      </c>
    </row>
    <row r="558">
      <c r="K558">
        <f>IF(J558="v4.0",L558,IF(J558="v3.1",M558,IF(J558="Both",L558,IF(AND(L558&lt;&gt;"",M558=""),L558,M558))))</f>
        <v/>
      </c>
      <c r="W558">
        <f>IF(V558&lt;&gt;"",NETWORKDAYS(TODAY(),V558),"")</f>
        <v/>
      </c>
      <c r="X558">
        <f>IF(AN558="Complete","Complete",IF(W558&lt;0,"Overdue",IF(W558&lt;=U558*0.2,"At Risk","On Track")))</f>
        <v/>
      </c>
    </row>
    <row r="559">
      <c r="K559">
        <f>IF(J559="v4.0",L559,IF(J559="v3.1",M559,IF(J559="Both",L559,IF(AND(L559&lt;&gt;"",M559=""),L559,M559))))</f>
        <v/>
      </c>
      <c r="W559">
        <f>IF(V559&lt;&gt;"",NETWORKDAYS(TODAY(),V559),"")</f>
        <v/>
      </c>
      <c r="X559">
        <f>IF(AN559="Complete","Complete",IF(W559&lt;0,"Overdue",IF(W559&lt;=U559*0.2,"At Risk","On Track")))</f>
        <v/>
      </c>
    </row>
    <row r="560">
      <c r="K560">
        <f>IF(J560="v4.0",L560,IF(J560="v3.1",M560,IF(J560="Both",L560,IF(AND(L560&lt;&gt;"",M560=""),L560,M560))))</f>
        <v/>
      </c>
      <c r="W560">
        <f>IF(V560&lt;&gt;"",NETWORKDAYS(TODAY(),V560),"")</f>
        <v/>
      </c>
      <c r="X560">
        <f>IF(AN560="Complete","Complete",IF(W560&lt;0,"Overdue",IF(W560&lt;=U560*0.2,"At Risk","On Track")))</f>
        <v/>
      </c>
    </row>
    <row r="561">
      <c r="K561">
        <f>IF(J561="v4.0",L561,IF(J561="v3.1",M561,IF(J561="Both",L561,IF(AND(L561&lt;&gt;"",M561=""),L561,M561))))</f>
        <v/>
      </c>
      <c r="W561">
        <f>IF(V561&lt;&gt;"",NETWORKDAYS(TODAY(),V561),"")</f>
        <v/>
      </c>
      <c r="X561">
        <f>IF(AN561="Complete","Complete",IF(W561&lt;0,"Overdue",IF(W561&lt;=U561*0.2,"At Risk","On Track")))</f>
        <v/>
      </c>
    </row>
    <row r="562">
      <c r="K562">
        <f>IF(J562="v4.0",L562,IF(J562="v3.1",M562,IF(J562="Both",L562,IF(AND(L562&lt;&gt;"",M562=""),L562,M562))))</f>
        <v/>
      </c>
      <c r="W562">
        <f>IF(V562&lt;&gt;"",NETWORKDAYS(TODAY(),V562),"")</f>
        <v/>
      </c>
      <c r="X562">
        <f>IF(AN562="Complete","Complete",IF(W562&lt;0,"Overdue",IF(W562&lt;=U562*0.2,"At Risk","On Track")))</f>
        <v/>
      </c>
    </row>
    <row r="563">
      <c r="K563">
        <f>IF(J563="v4.0",L563,IF(J563="v3.1",M563,IF(J563="Both",L563,IF(AND(L563&lt;&gt;"",M563=""),L563,M563))))</f>
        <v/>
      </c>
      <c r="W563">
        <f>IF(V563&lt;&gt;"",NETWORKDAYS(TODAY(),V563),"")</f>
        <v/>
      </c>
      <c r="X563">
        <f>IF(AN563="Complete","Complete",IF(W563&lt;0,"Overdue",IF(W563&lt;=U563*0.2,"At Risk","On Track")))</f>
        <v/>
      </c>
    </row>
    <row r="564">
      <c r="K564">
        <f>IF(J564="v4.0",L564,IF(J564="v3.1",M564,IF(J564="Both",L564,IF(AND(L564&lt;&gt;"",M564=""),L564,M564))))</f>
        <v/>
      </c>
      <c r="W564">
        <f>IF(V564&lt;&gt;"",NETWORKDAYS(TODAY(),V564),"")</f>
        <v/>
      </c>
      <c r="X564">
        <f>IF(AN564="Complete","Complete",IF(W564&lt;0,"Overdue",IF(W564&lt;=U564*0.2,"At Risk","On Track")))</f>
        <v/>
      </c>
    </row>
    <row r="565">
      <c r="K565">
        <f>IF(J565="v4.0",L565,IF(J565="v3.1",M565,IF(J565="Both",L565,IF(AND(L565&lt;&gt;"",M565=""),L565,M565))))</f>
        <v/>
      </c>
      <c r="W565">
        <f>IF(V565&lt;&gt;"",NETWORKDAYS(TODAY(),V565),"")</f>
        <v/>
      </c>
      <c r="X565">
        <f>IF(AN565="Complete","Complete",IF(W565&lt;0,"Overdue",IF(W565&lt;=U565*0.2,"At Risk","On Track")))</f>
        <v/>
      </c>
    </row>
    <row r="566">
      <c r="K566">
        <f>IF(J566="v4.0",L566,IF(J566="v3.1",M566,IF(J566="Both",L566,IF(AND(L566&lt;&gt;"",M566=""),L566,M566))))</f>
        <v/>
      </c>
      <c r="W566">
        <f>IF(V566&lt;&gt;"",NETWORKDAYS(TODAY(),V566),"")</f>
        <v/>
      </c>
      <c r="X566">
        <f>IF(AN566="Complete","Complete",IF(W566&lt;0,"Overdue",IF(W566&lt;=U566*0.2,"At Risk","On Track")))</f>
        <v/>
      </c>
    </row>
    <row r="567">
      <c r="K567">
        <f>IF(J567="v4.0",L567,IF(J567="v3.1",M567,IF(J567="Both",L567,IF(AND(L567&lt;&gt;"",M567=""),L567,M567))))</f>
        <v/>
      </c>
      <c r="W567">
        <f>IF(V567&lt;&gt;"",NETWORKDAYS(TODAY(),V567),"")</f>
        <v/>
      </c>
      <c r="X567">
        <f>IF(AN567="Complete","Complete",IF(W567&lt;0,"Overdue",IF(W567&lt;=U567*0.2,"At Risk","On Track")))</f>
        <v/>
      </c>
    </row>
    <row r="568">
      <c r="K568">
        <f>IF(J568="v4.0",L568,IF(J568="v3.1",M568,IF(J568="Both",L568,IF(AND(L568&lt;&gt;"",M568=""),L568,M568))))</f>
        <v/>
      </c>
      <c r="W568">
        <f>IF(V568&lt;&gt;"",NETWORKDAYS(TODAY(),V568),"")</f>
        <v/>
      </c>
      <c r="X568">
        <f>IF(AN568="Complete","Complete",IF(W568&lt;0,"Overdue",IF(W568&lt;=U568*0.2,"At Risk","On Track")))</f>
        <v/>
      </c>
    </row>
    <row r="569">
      <c r="K569">
        <f>IF(J569="v4.0",L569,IF(J569="v3.1",M569,IF(J569="Both",L569,IF(AND(L569&lt;&gt;"",M569=""),L569,M569))))</f>
        <v/>
      </c>
      <c r="W569">
        <f>IF(V569&lt;&gt;"",NETWORKDAYS(TODAY(),V569),"")</f>
        <v/>
      </c>
      <c r="X569">
        <f>IF(AN569="Complete","Complete",IF(W569&lt;0,"Overdue",IF(W569&lt;=U569*0.2,"At Risk","On Track")))</f>
        <v/>
      </c>
    </row>
    <row r="570">
      <c r="K570">
        <f>IF(J570="v4.0",L570,IF(J570="v3.1",M570,IF(J570="Both",L570,IF(AND(L570&lt;&gt;"",M570=""),L570,M570))))</f>
        <v/>
      </c>
      <c r="W570">
        <f>IF(V570&lt;&gt;"",NETWORKDAYS(TODAY(),V570),"")</f>
        <v/>
      </c>
      <c r="X570">
        <f>IF(AN570="Complete","Complete",IF(W570&lt;0,"Overdue",IF(W570&lt;=U570*0.2,"At Risk","On Track")))</f>
        <v/>
      </c>
    </row>
    <row r="571">
      <c r="K571">
        <f>IF(J571="v4.0",L571,IF(J571="v3.1",M571,IF(J571="Both",L571,IF(AND(L571&lt;&gt;"",M571=""),L571,M571))))</f>
        <v/>
      </c>
      <c r="W571">
        <f>IF(V571&lt;&gt;"",NETWORKDAYS(TODAY(),V571),"")</f>
        <v/>
      </c>
      <c r="X571">
        <f>IF(AN571="Complete","Complete",IF(W571&lt;0,"Overdue",IF(W571&lt;=U571*0.2,"At Risk","On Track")))</f>
        <v/>
      </c>
    </row>
    <row r="572">
      <c r="K572">
        <f>IF(J572="v4.0",L572,IF(J572="v3.1",M572,IF(J572="Both",L572,IF(AND(L572&lt;&gt;"",M572=""),L572,M572))))</f>
        <v/>
      </c>
      <c r="W572">
        <f>IF(V572&lt;&gt;"",NETWORKDAYS(TODAY(),V572),"")</f>
        <v/>
      </c>
      <c r="X572">
        <f>IF(AN572="Complete","Complete",IF(W572&lt;0,"Overdue",IF(W572&lt;=U572*0.2,"At Risk","On Track")))</f>
        <v/>
      </c>
    </row>
    <row r="573">
      <c r="K573">
        <f>IF(J573="v4.0",L573,IF(J573="v3.1",M573,IF(J573="Both",L573,IF(AND(L573&lt;&gt;"",M573=""),L573,M573))))</f>
        <v/>
      </c>
      <c r="W573">
        <f>IF(V573&lt;&gt;"",NETWORKDAYS(TODAY(),V573),"")</f>
        <v/>
      </c>
      <c r="X573">
        <f>IF(AN573="Complete","Complete",IF(W573&lt;0,"Overdue",IF(W573&lt;=U573*0.2,"At Risk","On Track")))</f>
        <v/>
      </c>
    </row>
    <row r="574">
      <c r="K574">
        <f>IF(J574="v4.0",L574,IF(J574="v3.1",M574,IF(J574="Both",L574,IF(AND(L574&lt;&gt;"",M574=""),L574,M574))))</f>
        <v/>
      </c>
      <c r="W574">
        <f>IF(V574&lt;&gt;"",NETWORKDAYS(TODAY(),V574),"")</f>
        <v/>
      </c>
      <c r="X574">
        <f>IF(AN574="Complete","Complete",IF(W574&lt;0,"Overdue",IF(W574&lt;=U574*0.2,"At Risk","On Track")))</f>
        <v/>
      </c>
    </row>
    <row r="575">
      <c r="K575">
        <f>IF(J575="v4.0",L575,IF(J575="v3.1",M575,IF(J575="Both",L575,IF(AND(L575&lt;&gt;"",M575=""),L575,M575))))</f>
        <v/>
      </c>
      <c r="W575">
        <f>IF(V575&lt;&gt;"",NETWORKDAYS(TODAY(),V575),"")</f>
        <v/>
      </c>
      <c r="X575">
        <f>IF(AN575="Complete","Complete",IF(W575&lt;0,"Overdue",IF(W575&lt;=U575*0.2,"At Risk","On Track")))</f>
        <v/>
      </c>
    </row>
    <row r="576">
      <c r="K576">
        <f>IF(J576="v4.0",L576,IF(J576="v3.1",M576,IF(J576="Both",L576,IF(AND(L576&lt;&gt;"",M576=""),L576,M576))))</f>
        <v/>
      </c>
      <c r="W576">
        <f>IF(V576&lt;&gt;"",NETWORKDAYS(TODAY(),V576),"")</f>
        <v/>
      </c>
      <c r="X576">
        <f>IF(AN576="Complete","Complete",IF(W576&lt;0,"Overdue",IF(W576&lt;=U576*0.2,"At Risk","On Track")))</f>
        <v/>
      </c>
    </row>
    <row r="577">
      <c r="K577">
        <f>IF(J577="v4.0",L577,IF(J577="v3.1",M577,IF(J577="Both",L577,IF(AND(L577&lt;&gt;"",M577=""),L577,M577))))</f>
        <v/>
      </c>
      <c r="W577">
        <f>IF(V577&lt;&gt;"",NETWORKDAYS(TODAY(),V577),"")</f>
        <v/>
      </c>
      <c r="X577">
        <f>IF(AN577="Complete","Complete",IF(W577&lt;0,"Overdue",IF(W577&lt;=U577*0.2,"At Risk","On Track")))</f>
        <v/>
      </c>
    </row>
    <row r="578">
      <c r="K578">
        <f>IF(J578="v4.0",L578,IF(J578="v3.1",M578,IF(J578="Both",L578,IF(AND(L578&lt;&gt;"",M578=""),L578,M578))))</f>
        <v/>
      </c>
      <c r="W578">
        <f>IF(V578&lt;&gt;"",NETWORKDAYS(TODAY(),V578),"")</f>
        <v/>
      </c>
      <c r="X578">
        <f>IF(AN578="Complete","Complete",IF(W578&lt;0,"Overdue",IF(W578&lt;=U578*0.2,"At Risk","On Track")))</f>
        <v/>
      </c>
    </row>
    <row r="579">
      <c r="K579">
        <f>IF(J579="v4.0",L579,IF(J579="v3.1",M579,IF(J579="Both",L579,IF(AND(L579&lt;&gt;"",M579=""),L579,M579))))</f>
        <v/>
      </c>
      <c r="W579">
        <f>IF(V579&lt;&gt;"",NETWORKDAYS(TODAY(),V579),"")</f>
        <v/>
      </c>
      <c r="X579">
        <f>IF(AN579="Complete","Complete",IF(W579&lt;0,"Overdue",IF(W579&lt;=U579*0.2,"At Risk","On Track")))</f>
        <v/>
      </c>
    </row>
    <row r="580">
      <c r="K580">
        <f>IF(J580="v4.0",L580,IF(J580="v3.1",M580,IF(J580="Both",L580,IF(AND(L580&lt;&gt;"",M580=""),L580,M580))))</f>
        <v/>
      </c>
      <c r="W580">
        <f>IF(V580&lt;&gt;"",NETWORKDAYS(TODAY(),V580),"")</f>
        <v/>
      </c>
      <c r="X580">
        <f>IF(AN580="Complete","Complete",IF(W580&lt;0,"Overdue",IF(W580&lt;=U580*0.2,"At Risk","On Track")))</f>
        <v/>
      </c>
    </row>
    <row r="581">
      <c r="K581">
        <f>IF(J581="v4.0",L581,IF(J581="v3.1",M581,IF(J581="Both",L581,IF(AND(L581&lt;&gt;"",M581=""),L581,M581))))</f>
        <v/>
      </c>
      <c r="W581">
        <f>IF(V581&lt;&gt;"",NETWORKDAYS(TODAY(),V581),"")</f>
        <v/>
      </c>
      <c r="X581">
        <f>IF(AN581="Complete","Complete",IF(W581&lt;0,"Overdue",IF(W581&lt;=U581*0.2,"At Risk","On Track")))</f>
        <v/>
      </c>
    </row>
    <row r="582">
      <c r="K582">
        <f>IF(J582="v4.0",L582,IF(J582="v3.1",M582,IF(J582="Both",L582,IF(AND(L582&lt;&gt;"",M582=""),L582,M582))))</f>
        <v/>
      </c>
      <c r="W582">
        <f>IF(V582&lt;&gt;"",NETWORKDAYS(TODAY(),V582),"")</f>
        <v/>
      </c>
      <c r="X582">
        <f>IF(AN582="Complete","Complete",IF(W582&lt;0,"Overdue",IF(W582&lt;=U582*0.2,"At Risk","On Track")))</f>
        <v/>
      </c>
    </row>
    <row r="583">
      <c r="K583">
        <f>IF(J583="v4.0",L583,IF(J583="v3.1",M583,IF(J583="Both",L583,IF(AND(L583&lt;&gt;"",M583=""),L583,M583))))</f>
        <v/>
      </c>
      <c r="W583">
        <f>IF(V583&lt;&gt;"",NETWORKDAYS(TODAY(),V583),"")</f>
        <v/>
      </c>
      <c r="X583">
        <f>IF(AN583="Complete","Complete",IF(W583&lt;0,"Overdue",IF(W583&lt;=U583*0.2,"At Risk","On Track")))</f>
        <v/>
      </c>
    </row>
    <row r="584">
      <c r="K584">
        <f>IF(J584="v4.0",L584,IF(J584="v3.1",M584,IF(J584="Both",L584,IF(AND(L584&lt;&gt;"",M584=""),L584,M584))))</f>
        <v/>
      </c>
      <c r="W584">
        <f>IF(V584&lt;&gt;"",NETWORKDAYS(TODAY(),V584),"")</f>
        <v/>
      </c>
      <c r="X584">
        <f>IF(AN584="Complete","Complete",IF(W584&lt;0,"Overdue",IF(W584&lt;=U584*0.2,"At Risk","On Track")))</f>
        <v/>
      </c>
    </row>
    <row r="585">
      <c r="K585">
        <f>IF(J585="v4.0",L585,IF(J585="v3.1",M585,IF(J585="Both",L585,IF(AND(L585&lt;&gt;"",M585=""),L585,M585))))</f>
        <v/>
      </c>
      <c r="W585">
        <f>IF(V585&lt;&gt;"",NETWORKDAYS(TODAY(),V585),"")</f>
        <v/>
      </c>
      <c r="X585">
        <f>IF(AN585="Complete","Complete",IF(W585&lt;0,"Overdue",IF(W585&lt;=U585*0.2,"At Risk","On Track")))</f>
        <v/>
      </c>
    </row>
    <row r="586">
      <c r="K586">
        <f>IF(J586="v4.0",L586,IF(J586="v3.1",M586,IF(J586="Both",L586,IF(AND(L586&lt;&gt;"",M586=""),L586,M586))))</f>
        <v/>
      </c>
      <c r="W586">
        <f>IF(V586&lt;&gt;"",NETWORKDAYS(TODAY(),V586),"")</f>
        <v/>
      </c>
      <c r="X586">
        <f>IF(AN586="Complete","Complete",IF(W586&lt;0,"Overdue",IF(W586&lt;=U586*0.2,"At Risk","On Track")))</f>
        <v/>
      </c>
    </row>
    <row r="587">
      <c r="K587">
        <f>IF(J587="v4.0",L587,IF(J587="v3.1",M587,IF(J587="Both",L587,IF(AND(L587&lt;&gt;"",M587=""),L587,M587))))</f>
        <v/>
      </c>
      <c r="W587">
        <f>IF(V587&lt;&gt;"",NETWORKDAYS(TODAY(),V587),"")</f>
        <v/>
      </c>
      <c r="X587">
        <f>IF(AN587="Complete","Complete",IF(W587&lt;0,"Overdue",IF(W587&lt;=U587*0.2,"At Risk","On Track")))</f>
        <v/>
      </c>
    </row>
    <row r="588">
      <c r="K588">
        <f>IF(J588="v4.0",L588,IF(J588="v3.1",M588,IF(J588="Both",L588,IF(AND(L588&lt;&gt;"",M588=""),L588,M588))))</f>
        <v/>
      </c>
      <c r="W588">
        <f>IF(V588&lt;&gt;"",NETWORKDAYS(TODAY(),V588),"")</f>
        <v/>
      </c>
      <c r="X588">
        <f>IF(AN588="Complete","Complete",IF(W588&lt;0,"Overdue",IF(W588&lt;=U588*0.2,"At Risk","On Track")))</f>
        <v/>
      </c>
    </row>
    <row r="589">
      <c r="K589">
        <f>IF(J589="v4.0",L589,IF(J589="v3.1",M589,IF(J589="Both",L589,IF(AND(L589&lt;&gt;"",M589=""),L589,M589))))</f>
        <v/>
      </c>
      <c r="W589">
        <f>IF(V589&lt;&gt;"",NETWORKDAYS(TODAY(),V589),"")</f>
        <v/>
      </c>
      <c r="X589">
        <f>IF(AN589="Complete","Complete",IF(W589&lt;0,"Overdue",IF(W589&lt;=U589*0.2,"At Risk","On Track")))</f>
        <v/>
      </c>
    </row>
    <row r="590">
      <c r="K590">
        <f>IF(J590="v4.0",L590,IF(J590="v3.1",M590,IF(J590="Both",L590,IF(AND(L590&lt;&gt;"",M590=""),L590,M590))))</f>
        <v/>
      </c>
      <c r="W590">
        <f>IF(V590&lt;&gt;"",NETWORKDAYS(TODAY(),V590),"")</f>
        <v/>
      </c>
      <c r="X590">
        <f>IF(AN590="Complete","Complete",IF(W590&lt;0,"Overdue",IF(W590&lt;=U590*0.2,"At Risk","On Track")))</f>
        <v/>
      </c>
    </row>
    <row r="591">
      <c r="K591">
        <f>IF(J591="v4.0",L591,IF(J591="v3.1",M591,IF(J591="Both",L591,IF(AND(L591&lt;&gt;"",M591=""),L591,M591))))</f>
        <v/>
      </c>
      <c r="W591">
        <f>IF(V591&lt;&gt;"",NETWORKDAYS(TODAY(),V591),"")</f>
        <v/>
      </c>
      <c r="X591">
        <f>IF(AN591="Complete","Complete",IF(W591&lt;0,"Overdue",IF(W591&lt;=U591*0.2,"At Risk","On Track")))</f>
        <v/>
      </c>
    </row>
    <row r="592">
      <c r="K592">
        <f>IF(J592="v4.0",L592,IF(J592="v3.1",M592,IF(J592="Both",L592,IF(AND(L592&lt;&gt;"",M592=""),L592,M592))))</f>
        <v/>
      </c>
      <c r="W592">
        <f>IF(V592&lt;&gt;"",NETWORKDAYS(TODAY(),V592),"")</f>
        <v/>
      </c>
      <c r="X592">
        <f>IF(AN592="Complete","Complete",IF(W592&lt;0,"Overdue",IF(W592&lt;=U592*0.2,"At Risk","On Track")))</f>
        <v/>
      </c>
    </row>
    <row r="593">
      <c r="K593">
        <f>IF(J593="v4.0",L593,IF(J593="v3.1",M593,IF(J593="Both",L593,IF(AND(L593&lt;&gt;"",M593=""),L593,M593))))</f>
        <v/>
      </c>
      <c r="W593">
        <f>IF(V593&lt;&gt;"",NETWORKDAYS(TODAY(),V593),"")</f>
        <v/>
      </c>
      <c r="X593">
        <f>IF(AN593="Complete","Complete",IF(W593&lt;0,"Overdue",IF(W593&lt;=U593*0.2,"At Risk","On Track")))</f>
        <v/>
      </c>
    </row>
    <row r="594">
      <c r="K594">
        <f>IF(J594="v4.0",L594,IF(J594="v3.1",M594,IF(J594="Both",L594,IF(AND(L594&lt;&gt;"",M594=""),L594,M594))))</f>
        <v/>
      </c>
      <c r="W594">
        <f>IF(V594&lt;&gt;"",NETWORKDAYS(TODAY(),V594),"")</f>
        <v/>
      </c>
      <c r="X594">
        <f>IF(AN594="Complete","Complete",IF(W594&lt;0,"Overdue",IF(W594&lt;=U594*0.2,"At Risk","On Track")))</f>
        <v/>
      </c>
    </row>
    <row r="595">
      <c r="K595">
        <f>IF(J595="v4.0",L595,IF(J595="v3.1",M595,IF(J595="Both",L595,IF(AND(L595&lt;&gt;"",M595=""),L595,M595))))</f>
        <v/>
      </c>
      <c r="W595">
        <f>IF(V595&lt;&gt;"",NETWORKDAYS(TODAY(),V595),"")</f>
        <v/>
      </c>
      <c r="X595">
        <f>IF(AN595="Complete","Complete",IF(W595&lt;0,"Overdue",IF(W595&lt;=U595*0.2,"At Risk","On Track")))</f>
        <v/>
      </c>
    </row>
    <row r="596">
      <c r="K596">
        <f>IF(J596="v4.0",L596,IF(J596="v3.1",M596,IF(J596="Both",L596,IF(AND(L596&lt;&gt;"",M596=""),L596,M596))))</f>
        <v/>
      </c>
      <c r="W596">
        <f>IF(V596&lt;&gt;"",NETWORKDAYS(TODAY(),V596),"")</f>
        <v/>
      </c>
      <c r="X596">
        <f>IF(AN596="Complete","Complete",IF(W596&lt;0,"Overdue",IF(W596&lt;=U596*0.2,"At Risk","On Track")))</f>
        <v/>
      </c>
    </row>
    <row r="597">
      <c r="K597">
        <f>IF(J597="v4.0",L597,IF(J597="v3.1",M597,IF(J597="Both",L597,IF(AND(L597&lt;&gt;"",M597=""),L597,M597))))</f>
        <v/>
      </c>
      <c r="W597">
        <f>IF(V597&lt;&gt;"",NETWORKDAYS(TODAY(),V597),"")</f>
        <v/>
      </c>
      <c r="X597">
        <f>IF(AN597="Complete","Complete",IF(W597&lt;0,"Overdue",IF(W597&lt;=U597*0.2,"At Risk","On Track")))</f>
        <v/>
      </c>
    </row>
    <row r="598">
      <c r="K598">
        <f>IF(J598="v4.0",L598,IF(J598="v3.1",M598,IF(J598="Both",L598,IF(AND(L598&lt;&gt;"",M598=""),L598,M598))))</f>
        <v/>
      </c>
      <c r="W598">
        <f>IF(V598&lt;&gt;"",NETWORKDAYS(TODAY(),V598),"")</f>
        <v/>
      </c>
      <c r="X598">
        <f>IF(AN598="Complete","Complete",IF(W598&lt;0,"Overdue",IF(W598&lt;=U598*0.2,"At Risk","On Track")))</f>
        <v/>
      </c>
    </row>
    <row r="599">
      <c r="K599">
        <f>IF(J599="v4.0",L599,IF(J599="v3.1",M599,IF(J599="Both",L599,IF(AND(L599&lt;&gt;"",M599=""),L599,M599))))</f>
        <v/>
      </c>
      <c r="W599">
        <f>IF(V599&lt;&gt;"",NETWORKDAYS(TODAY(),V599),"")</f>
        <v/>
      </c>
      <c r="X599">
        <f>IF(AN599="Complete","Complete",IF(W599&lt;0,"Overdue",IF(W599&lt;=U599*0.2,"At Risk","On Track")))</f>
        <v/>
      </c>
    </row>
    <row r="600">
      <c r="K600">
        <f>IF(J600="v4.0",L600,IF(J600="v3.1",M600,IF(J600="Both",L600,IF(AND(L600&lt;&gt;"",M600=""),L600,M600))))</f>
        <v/>
      </c>
      <c r="W600">
        <f>IF(V600&lt;&gt;"",NETWORKDAYS(TODAY(),V600),"")</f>
        <v/>
      </c>
      <c r="X600">
        <f>IF(AN600="Complete","Complete",IF(W600&lt;0,"Overdue",IF(W600&lt;=U600*0.2,"At Risk","On Track")))</f>
        <v/>
      </c>
    </row>
    <row r="601">
      <c r="K601">
        <f>IF(J601="v4.0",L601,IF(J601="v3.1",M601,IF(J601="Both",L601,IF(AND(L601&lt;&gt;"",M601=""),L601,M601))))</f>
        <v/>
      </c>
      <c r="W601">
        <f>IF(V601&lt;&gt;"",NETWORKDAYS(TODAY(),V601),"")</f>
        <v/>
      </c>
      <c r="X601">
        <f>IF(AN601="Complete","Complete",IF(W601&lt;0,"Overdue",IF(W601&lt;=U601*0.2,"At Risk","On Track")))</f>
        <v/>
      </c>
    </row>
    <row r="602">
      <c r="K602">
        <f>IF(J602="v4.0",L602,IF(J602="v3.1",M602,IF(J602="Both",L602,IF(AND(L602&lt;&gt;"",M602=""),L602,M602))))</f>
        <v/>
      </c>
      <c r="W602">
        <f>IF(V602&lt;&gt;"",NETWORKDAYS(TODAY(),V602),"")</f>
        <v/>
      </c>
      <c r="X602">
        <f>IF(AN602="Complete","Complete",IF(W602&lt;0,"Overdue",IF(W602&lt;=U602*0.2,"At Risk","On Track")))</f>
        <v/>
      </c>
    </row>
    <row r="603">
      <c r="K603">
        <f>IF(J603="v4.0",L603,IF(J603="v3.1",M603,IF(J603="Both",L603,IF(AND(L603&lt;&gt;"",M603=""),L603,M603))))</f>
        <v/>
      </c>
      <c r="W603">
        <f>IF(V603&lt;&gt;"",NETWORKDAYS(TODAY(),V603),"")</f>
        <v/>
      </c>
      <c r="X603">
        <f>IF(AN603="Complete","Complete",IF(W603&lt;0,"Overdue",IF(W603&lt;=U603*0.2,"At Risk","On Track")))</f>
        <v/>
      </c>
    </row>
    <row r="604">
      <c r="K604">
        <f>IF(J604="v4.0",L604,IF(J604="v3.1",M604,IF(J604="Both",L604,IF(AND(L604&lt;&gt;"",M604=""),L604,M604))))</f>
        <v/>
      </c>
      <c r="W604">
        <f>IF(V604&lt;&gt;"",NETWORKDAYS(TODAY(),V604),"")</f>
        <v/>
      </c>
      <c r="X604">
        <f>IF(AN604="Complete","Complete",IF(W604&lt;0,"Overdue",IF(W604&lt;=U604*0.2,"At Risk","On Track")))</f>
        <v/>
      </c>
    </row>
    <row r="605">
      <c r="K605">
        <f>IF(J605="v4.0",L605,IF(J605="v3.1",M605,IF(J605="Both",L605,IF(AND(L605&lt;&gt;"",M605=""),L605,M605))))</f>
        <v/>
      </c>
      <c r="W605">
        <f>IF(V605&lt;&gt;"",NETWORKDAYS(TODAY(),V605),"")</f>
        <v/>
      </c>
      <c r="X605">
        <f>IF(AN605="Complete","Complete",IF(W605&lt;0,"Overdue",IF(W605&lt;=U605*0.2,"At Risk","On Track")))</f>
        <v/>
      </c>
    </row>
    <row r="606">
      <c r="K606">
        <f>IF(J606="v4.0",L606,IF(J606="v3.1",M606,IF(J606="Both",L606,IF(AND(L606&lt;&gt;"",M606=""),L606,M606))))</f>
        <v/>
      </c>
      <c r="W606">
        <f>IF(V606&lt;&gt;"",NETWORKDAYS(TODAY(),V606),"")</f>
        <v/>
      </c>
      <c r="X606">
        <f>IF(AN606="Complete","Complete",IF(W606&lt;0,"Overdue",IF(W606&lt;=U606*0.2,"At Risk","On Track")))</f>
        <v/>
      </c>
    </row>
    <row r="607">
      <c r="K607">
        <f>IF(J607="v4.0",L607,IF(J607="v3.1",M607,IF(J607="Both",L607,IF(AND(L607&lt;&gt;"",M607=""),L607,M607))))</f>
        <v/>
      </c>
      <c r="W607">
        <f>IF(V607&lt;&gt;"",NETWORKDAYS(TODAY(),V607),"")</f>
        <v/>
      </c>
      <c r="X607">
        <f>IF(AN607="Complete","Complete",IF(W607&lt;0,"Overdue",IF(W607&lt;=U607*0.2,"At Risk","On Track")))</f>
        <v/>
      </c>
    </row>
    <row r="608">
      <c r="K608">
        <f>IF(J608="v4.0",L608,IF(J608="v3.1",M608,IF(J608="Both",L608,IF(AND(L608&lt;&gt;"",M608=""),L608,M608))))</f>
        <v/>
      </c>
      <c r="W608">
        <f>IF(V608&lt;&gt;"",NETWORKDAYS(TODAY(),V608),"")</f>
        <v/>
      </c>
      <c r="X608">
        <f>IF(AN608="Complete","Complete",IF(W608&lt;0,"Overdue",IF(W608&lt;=U608*0.2,"At Risk","On Track")))</f>
        <v/>
      </c>
    </row>
    <row r="609">
      <c r="K609">
        <f>IF(J609="v4.0",L609,IF(J609="v3.1",M609,IF(J609="Both",L609,IF(AND(L609&lt;&gt;"",M609=""),L609,M609))))</f>
        <v/>
      </c>
      <c r="W609">
        <f>IF(V609&lt;&gt;"",NETWORKDAYS(TODAY(),V609),"")</f>
        <v/>
      </c>
      <c r="X609">
        <f>IF(AN609="Complete","Complete",IF(W609&lt;0,"Overdue",IF(W609&lt;=U609*0.2,"At Risk","On Track")))</f>
        <v/>
      </c>
    </row>
    <row r="610">
      <c r="K610">
        <f>IF(J610="v4.0",L610,IF(J610="v3.1",M610,IF(J610="Both",L610,IF(AND(L610&lt;&gt;"",M610=""),L610,M610))))</f>
        <v/>
      </c>
      <c r="W610">
        <f>IF(V610&lt;&gt;"",NETWORKDAYS(TODAY(),V610),"")</f>
        <v/>
      </c>
      <c r="X610">
        <f>IF(AN610="Complete","Complete",IF(W610&lt;0,"Overdue",IF(W610&lt;=U610*0.2,"At Risk","On Track")))</f>
        <v/>
      </c>
    </row>
    <row r="611">
      <c r="K611">
        <f>IF(J611="v4.0",L611,IF(J611="v3.1",M611,IF(J611="Both",L611,IF(AND(L611&lt;&gt;"",M611=""),L611,M611))))</f>
        <v/>
      </c>
      <c r="W611">
        <f>IF(V611&lt;&gt;"",NETWORKDAYS(TODAY(),V611),"")</f>
        <v/>
      </c>
      <c r="X611">
        <f>IF(AN611="Complete","Complete",IF(W611&lt;0,"Overdue",IF(W611&lt;=U611*0.2,"At Risk","On Track")))</f>
        <v/>
      </c>
    </row>
    <row r="612">
      <c r="K612">
        <f>IF(J612="v4.0",L612,IF(J612="v3.1",M612,IF(J612="Both",L612,IF(AND(L612&lt;&gt;"",M612=""),L612,M612))))</f>
        <v/>
      </c>
      <c r="W612">
        <f>IF(V612&lt;&gt;"",NETWORKDAYS(TODAY(),V612),"")</f>
        <v/>
      </c>
      <c r="X612">
        <f>IF(AN612="Complete","Complete",IF(W612&lt;0,"Overdue",IF(W612&lt;=U612*0.2,"At Risk","On Track")))</f>
        <v/>
      </c>
    </row>
    <row r="613">
      <c r="K613">
        <f>IF(J613="v4.0",L613,IF(J613="v3.1",M613,IF(J613="Both",L613,IF(AND(L613&lt;&gt;"",M613=""),L613,M613))))</f>
        <v/>
      </c>
      <c r="W613">
        <f>IF(V613&lt;&gt;"",NETWORKDAYS(TODAY(),V613),"")</f>
        <v/>
      </c>
      <c r="X613">
        <f>IF(AN613="Complete","Complete",IF(W613&lt;0,"Overdue",IF(W613&lt;=U613*0.2,"At Risk","On Track")))</f>
        <v/>
      </c>
    </row>
    <row r="614">
      <c r="K614">
        <f>IF(J614="v4.0",L614,IF(J614="v3.1",M614,IF(J614="Both",L614,IF(AND(L614&lt;&gt;"",M614=""),L614,M614))))</f>
        <v/>
      </c>
      <c r="W614">
        <f>IF(V614&lt;&gt;"",NETWORKDAYS(TODAY(),V614),"")</f>
        <v/>
      </c>
      <c r="X614">
        <f>IF(AN614="Complete","Complete",IF(W614&lt;0,"Overdue",IF(W614&lt;=U614*0.2,"At Risk","On Track")))</f>
        <v/>
      </c>
    </row>
    <row r="615">
      <c r="K615">
        <f>IF(J615="v4.0",L615,IF(J615="v3.1",M615,IF(J615="Both",L615,IF(AND(L615&lt;&gt;"",M615=""),L615,M615))))</f>
        <v/>
      </c>
      <c r="W615">
        <f>IF(V615&lt;&gt;"",NETWORKDAYS(TODAY(),V615),"")</f>
        <v/>
      </c>
      <c r="X615">
        <f>IF(AN615="Complete","Complete",IF(W615&lt;0,"Overdue",IF(W615&lt;=U615*0.2,"At Risk","On Track")))</f>
        <v/>
      </c>
    </row>
    <row r="616">
      <c r="K616">
        <f>IF(J616="v4.0",L616,IF(J616="v3.1",M616,IF(J616="Both",L616,IF(AND(L616&lt;&gt;"",M616=""),L616,M616))))</f>
        <v/>
      </c>
      <c r="W616">
        <f>IF(V616&lt;&gt;"",NETWORKDAYS(TODAY(),V616),"")</f>
        <v/>
      </c>
      <c r="X616">
        <f>IF(AN616="Complete","Complete",IF(W616&lt;0,"Overdue",IF(W616&lt;=U616*0.2,"At Risk","On Track")))</f>
        <v/>
      </c>
    </row>
    <row r="617">
      <c r="K617">
        <f>IF(J617="v4.0",L617,IF(J617="v3.1",M617,IF(J617="Both",L617,IF(AND(L617&lt;&gt;"",M617=""),L617,M617))))</f>
        <v/>
      </c>
      <c r="W617">
        <f>IF(V617&lt;&gt;"",NETWORKDAYS(TODAY(),V617),"")</f>
        <v/>
      </c>
      <c r="X617">
        <f>IF(AN617="Complete","Complete",IF(W617&lt;0,"Overdue",IF(W617&lt;=U617*0.2,"At Risk","On Track")))</f>
        <v/>
      </c>
    </row>
    <row r="618">
      <c r="K618">
        <f>IF(J618="v4.0",L618,IF(J618="v3.1",M618,IF(J618="Both",L618,IF(AND(L618&lt;&gt;"",M618=""),L618,M618))))</f>
        <v/>
      </c>
      <c r="W618">
        <f>IF(V618&lt;&gt;"",NETWORKDAYS(TODAY(),V618),"")</f>
        <v/>
      </c>
      <c r="X618">
        <f>IF(AN618="Complete","Complete",IF(W618&lt;0,"Overdue",IF(W618&lt;=U618*0.2,"At Risk","On Track")))</f>
        <v/>
      </c>
    </row>
    <row r="619">
      <c r="K619">
        <f>IF(J619="v4.0",L619,IF(J619="v3.1",M619,IF(J619="Both",L619,IF(AND(L619&lt;&gt;"",M619=""),L619,M619))))</f>
        <v/>
      </c>
      <c r="W619">
        <f>IF(V619&lt;&gt;"",NETWORKDAYS(TODAY(),V619),"")</f>
        <v/>
      </c>
      <c r="X619">
        <f>IF(AN619="Complete","Complete",IF(W619&lt;0,"Overdue",IF(W619&lt;=U619*0.2,"At Risk","On Track")))</f>
        <v/>
      </c>
    </row>
    <row r="620">
      <c r="K620">
        <f>IF(J620="v4.0",L620,IF(J620="v3.1",M620,IF(J620="Both",L620,IF(AND(L620&lt;&gt;"",M620=""),L620,M620))))</f>
        <v/>
      </c>
      <c r="W620">
        <f>IF(V620&lt;&gt;"",NETWORKDAYS(TODAY(),V620),"")</f>
        <v/>
      </c>
      <c r="X620">
        <f>IF(AN620="Complete","Complete",IF(W620&lt;0,"Overdue",IF(W620&lt;=U620*0.2,"At Risk","On Track")))</f>
        <v/>
      </c>
    </row>
    <row r="621">
      <c r="K621">
        <f>IF(J621="v4.0",L621,IF(J621="v3.1",M621,IF(J621="Both",L621,IF(AND(L621&lt;&gt;"",M621=""),L621,M621))))</f>
        <v/>
      </c>
      <c r="W621">
        <f>IF(V621&lt;&gt;"",NETWORKDAYS(TODAY(),V621),"")</f>
        <v/>
      </c>
      <c r="X621">
        <f>IF(AN621="Complete","Complete",IF(W621&lt;0,"Overdue",IF(W621&lt;=U621*0.2,"At Risk","On Track")))</f>
        <v/>
      </c>
    </row>
    <row r="622">
      <c r="K622">
        <f>IF(J622="v4.0",L622,IF(J622="v3.1",M622,IF(J622="Both",L622,IF(AND(L622&lt;&gt;"",M622=""),L622,M622))))</f>
        <v/>
      </c>
      <c r="W622">
        <f>IF(V622&lt;&gt;"",NETWORKDAYS(TODAY(),V622),"")</f>
        <v/>
      </c>
      <c r="X622">
        <f>IF(AN622="Complete","Complete",IF(W622&lt;0,"Overdue",IF(W622&lt;=U622*0.2,"At Risk","On Track")))</f>
        <v/>
      </c>
    </row>
    <row r="623">
      <c r="K623">
        <f>IF(J623="v4.0",L623,IF(J623="v3.1",M623,IF(J623="Both",L623,IF(AND(L623&lt;&gt;"",M623=""),L623,M623))))</f>
        <v/>
      </c>
      <c r="W623">
        <f>IF(V623&lt;&gt;"",NETWORKDAYS(TODAY(),V623),"")</f>
        <v/>
      </c>
      <c r="X623">
        <f>IF(AN623="Complete","Complete",IF(W623&lt;0,"Overdue",IF(W623&lt;=U623*0.2,"At Risk","On Track")))</f>
        <v/>
      </c>
    </row>
    <row r="624">
      <c r="K624">
        <f>IF(J624="v4.0",L624,IF(J624="v3.1",M624,IF(J624="Both",L624,IF(AND(L624&lt;&gt;"",M624=""),L624,M624))))</f>
        <v/>
      </c>
      <c r="W624">
        <f>IF(V624&lt;&gt;"",NETWORKDAYS(TODAY(),V624),"")</f>
        <v/>
      </c>
      <c r="X624">
        <f>IF(AN624="Complete","Complete",IF(W624&lt;0,"Overdue",IF(W624&lt;=U624*0.2,"At Risk","On Track")))</f>
        <v/>
      </c>
    </row>
    <row r="625">
      <c r="K625">
        <f>IF(J625="v4.0",L625,IF(J625="v3.1",M625,IF(J625="Both",L625,IF(AND(L625&lt;&gt;"",M625=""),L625,M625))))</f>
        <v/>
      </c>
      <c r="W625">
        <f>IF(V625&lt;&gt;"",NETWORKDAYS(TODAY(),V625),"")</f>
        <v/>
      </c>
      <c r="X625">
        <f>IF(AN625="Complete","Complete",IF(W625&lt;0,"Overdue",IF(W625&lt;=U625*0.2,"At Risk","On Track")))</f>
        <v/>
      </c>
    </row>
    <row r="626">
      <c r="K626">
        <f>IF(J626="v4.0",L626,IF(J626="v3.1",M626,IF(J626="Both",L626,IF(AND(L626&lt;&gt;"",M626=""),L626,M626))))</f>
        <v/>
      </c>
      <c r="W626">
        <f>IF(V626&lt;&gt;"",NETWORKDAYS(TODAY(),V626),"")</f>
        <v/>
      </c>
      <c r="X626">
        <f>IF(AN626="Complete","Complete",IF(W626&lt;0,"Overdue",IF(W626&lt;=U626*0.2,"At Risk","On Track")))</f>
        <v/>
      </c>
    </row>
    <row r="627">
      <c r="K627">
        <f>IF(J627="v4.0",L627,IF(J627="v3.1",M627,IF(J627="Both",L627,IF(AND(L627&lt;&gt;"",M627=""),L627,M627))))</f>
        <v/>
      </c>
      <c r="W627">
        <f>IF(V627&lt;&gt;"",NETWORKDAYS(TODAY(),V627),"")</f>
        <v/>
      </c>
      <c r="X627">
        <f>IF(AN627="Complete","Complete",IF(W627&lt;0,"Overdue",IF(W627&lt;=U627*0.2,"At Risk","On Track")))</f>
        <v/>
      </c>
    </row>
    <row r="628">
      <c r="K628">
        <f>IF(J628="v4.0",L628,IF(J628="v3.1",M628,IF(J628="Both",L628,IF(AND(L628&lt;&gt;"",M628=""),L628,M628))))</f>
        <v/>
      </c>
      <c r="W628">
        <f>IF(V628&lt;&gt;"",NETWORKDAYS(TODAY(),V628),"")</f>
        <v/>
      </c>
      <c r="X628">
        <f>IF(AN628="Complete","Complete",IF(W628&lt;0,"Overdue",IF(W628&lt;=U628*0.2,"At Risk","On Track")))</f>
        <v/>
      </c>
    </row>
    <row r="629">
      <c r="K629">
        <f>IF(J629="v4.0",L629,IF(J629="v3.1",M629,IF(J629="Both",L629,IF(AND(L629&lt;&gt;"",M629=""),L629,M629))))</f>
        <v/>
      </c>
      <c r="W629">
        <f>IF(V629&lt;&gt;"",NETWORKDAYS(TODAY(),V629),"")</f>
        <v/>
      </c>
      <c r="X629">
        <f>IF(AN629="Complete","Complete",IF(W629&lt;0,"Overdue",IF(W629&lt;=U629*0.2,"At Risk","On Track")))</f>
        <v/>
      </c>
    </row>
    <row r="630">
      <c r="K630">
        <f>IF(J630="v4.0",L630,IF(J630="v3.1",M630,IF(J630="Both",L630,IF(AND(L630&lt;&gt;"",M630=""),L630,M630))))</f>
        <v/>
      </c>
      <c r="W630">
        <f>IF(V630&lt;&gt;"",NETWORKDAYS(TODAY(),V630),"")</f>
        <v/>
      </c>
      <c r="X630">
        <f>IF(AN630="Complete","Complete",IF(W630&lt;0,"Overdue",IF(W630&lt;=U630*0.2,"At Risk","On Track")))</f>
        <v/>
      </c>
    </row>
    <row r="631">
      <c r="K631">
        <f>IF(J631="v4.0",L631,IF(J631="v3.1",M631,IF(J631="Both",L631,IF(AND(L631&lt;&gt;"",M631=""),L631,M631))))</f>
        <v/>
      </c>
      <c r="W631">
        <f>IF(V631&lt;&gt;"",NETWORKDAYS(TODAY(),V631),"")</f>
        <v/>
      </c>
      <c r="X631">
        <f>IF(AN631="Complete","Complete",IF(W631&lt;0,"Overdue",IF(W631&lt;=U631*0.2,"At Risk","On Track")))</f>
        <v/>
      </c>
    </row>
    <row r="632">
      <c r="K632">
        <f>IF(J632="v4.0",L632,IF(J632="v3.1",M632,IF(J632="Both",L632,IF(AND(L632&lt;&gt;"",M632=""),L632,M632))))</f>
        <v/>
      </c>
      <c r="W632">
        <f>IF(V632&lt;&gt;"",NETWORKDAYS(TODAY(),V632),"")</f>
        <v/>
      </c>
      <c r="X632">
        <f>IF(AN632="Complete","Complete",IF(W632&lt;0,"Overdue",IF(W632&lt;=U632*0.2,"At Risk","On Track")))</f>
        <v/>
      </c>
    </row>
    <row r="633">
      <c r="K633">
        <f>IF(J633="v4.0",L633,IF(J633="v3.1",M633,IF(J633="Both",L633,IF(AND(L633&lt;&gt;"",M633=""),L633,M633))))</f>
        <v/>
      </c>
      <c r="W633">
        <f>IF(V633&lt;&gt;"",NETWORKDAYS(TODAY(),V633),"")</f>
        <v/>
      </c>
      <c r="X633">
        <f>IF(AN633="Complete","Complete",IF(W633&lt;0,"Overdue",IF(W633&lt;=U633*0.2,"At Risk","On Track")))</f>
        <v/>
      </c>
    </row>
    <row r="634">
      <c r="K634">
        <f>IF(J634="v4.0",L634,IF(J634="v3.1",M634,IF(J634="Both",L634,IF(AND(L634&lt;&gt;"",M634=""),L634,M634))))</f>
        <v/>
      </c>
      <c r="W634">
        <f>IF(V634&lt;&gt;"",NETWORKDAYS(TODAY(),V634),"")</f>
        <v/>
      </c>
      <c r="X634">
        <f>IF(AN634="Complete","Complete",IF(W634&lt;0,"Overdue",IF(W634&lt;=U634*0.2,"At Risk","On Track")))</f>
        <v/>
      </c>
    </row>
    <row r="635">
      <c r="K635">
        <f>IF(J635="v4.0",L635,IF(J635="v3.1",M635,IF(J635="Both",L635,IF(AND(L635&lt;&gt;"",M635=""),L635,M635))))</f>
        <v/>
      </c>
      <c r="W635">
        <f>IF(V635&lt;&gt;"",NETWORKDAYS(TODAY(),V635),"")</f>
        <v/>
      </c>
      <c r="X635">
        <f>IF(AN635="Complete","Complete",IF(W635&lt;0,"Overdue",IF(W635&lt;=U635*0.2,"At Risk","On Track")))</f>
        <v/>
      </c>
    </row>
    <row r="636">
      <c r="K636">
        <f>IF(J636="v4.0",L636,IF(J636="v3.1",M636,IF(J636="Both",L636,IF(AND(L636&lt;&gt;"",M636=""),L636,M636))))</f>
        <v/>
      </c>
      <c r="W636">
        <f>IF(V636&lt;&gt;"",NETWORKDAYS(TODAY(),V636),"")</f>
        <v/>
      </c>
      <c r="X636">
        <f>IF(AN636="Complete","Complete",IF(W636&lt;0,"Overdue",IF(W636&lt;=U636*0.2,"At Risk","On Track")))</f>
        <v/>
      </c>
    </row>
    <row r="637">
      <c r="K637">
        <f>IF(J637="v4.0",L637,IF(J637="v3.1",M637,IF(J637="Both",L637,IF(AND(L637&lt;&gt;"",M637=""),L637,M637))))</f>
        <v/>
      </c>
      <c r="W637">
        <f>IF(V637&lt;&gt;"",NETWORKDAYS(TODAY(),V637),"")</f>
        <v/>
      </c>
      <c r="X637">
        <f>IF(AN637="Complete","Complete",IF(W637&lt;0,"Overdue",IF(W637&lt;=U637*0.2,"At Risk","On Track")))</f>
        <v/>
      </c>
    </row>
    <row r="638">
      <c r="K638">
        <f>IF(J638="v4.0",L638,IF(J638="v3.1",M638,IF(J638="Both",L638,IF(AND(L638&lt;&gt;"",M638=""),L638,M638))))</f>
        <v/>
      </c>
      <c r="W638">
        <f>IF(V638&lt;&gt;"",NETWORKDAYS(TODAY(),V638),"")</f>
        <v/>
      </c>
      <c r="X638">
        <f>IF(AN638="Complete","Complete",IF(W638&lt;0,"Overdue",IF(W638&lt;=U638*0.2,"At Risk","On Track")))</f>
        <v/>
      </c>
    </row>
    <row r="639">
      <c r="K639">
        <f>IF(J639="v4.0",L639,IF(J639="v3.1",M639,IF(J639="Both",L639,IF(AND(L639&lt;&gt;"",M639=""),L639,M639))))</f>
        <v/>
      </c>
      <c r="W639">
        <f>IF(V639&lt;&gt;"",NETWORKDAYS(TODAY(),V639),"")</f>
        <v/>
      </c>
      <c r="X639">
        <f>IF(AN639="Complete","Complete",IF(W639&lt;0,"Overdue",IF(W639&lt;=U639*0.2,"At Risk","On Track")))</f>
        <v/>
      </c>
    </row>
    <row r="640">
      <c r="K640">
        <f>IF(J640="v4.0",L640,IF(J640="v3.1",M640,IF(J640="Both",L640,IF(AND(L640&lt;&gt;"",M640=""),L640,M640))))</f>
        <v/>
      </c>
      <c r="W640">
        <f>IF(V640&lt;&gt;"",NETWORKDAYS(TODAY(),V640),"")</f>
        <v/>
      </c>
      <c r="X640">
        <f>IF(AN640="Complete","Complete",IF(W640&lt;0,"Overdue",IF(W640&lt;=U640*0.2,"At Risk","On Track")))</f>
        <v/>
      </c>
    </row>
    <row r="641">
      <c r="K641">
        <f>IF(J641="v4.0",L641,IF(J641="v3.1",M641,IF(J641="Both",L641,IF(AND(L641&lt;&gt;"",M641=""),L641,M641))))</f>
        <v/>
      </c>
      <c r="W641">
        <f>IF(V641&lt;&gt;"",NETWORKDAYS(TODAY(),V641),"")</f>
        <v/>
      </c>
      <c r="X641">
        <f>IF(AN641="Complete","Complete",IF(W641&lt;0,"Overdue",IF(W641&lt;=U641*0.2,"At Risk","On Track")))</f>
        <v/>
      </c>
    </row>
    <row r="642">
      <c r="K642">
        <f>IF(J642="v4.0",L642,IF(J642="v3.1",M642,IF(J642="Both",L642,IF(AND(L642&lt;&gt;"",M642=""),L642,M642))))</f>
        <v/>
      </c>
      <c r="W642">
        <f>IF(V642&lt;&gt;"",NETWORKDAYS(TODAY(),V642),"")</f>
        <v/>
      </c>
      <c r="X642">
        <f>IF(AN642="Complete","Complete",IF(W642&lt;0,"Overdue",IF(W642&lt;=U642*0.2,"At Risk","On Track")))</f>
        <v/>
      </c>
    </row>
    <row r="643">
      <c r="K643">
        <f>IF(J643="v4.0",L643,IF(J643="v3.1",M643,IF(J643="Both",L643,IF(AND(L643&lt;&gt;"",M643=""),L643,M643))))</f>
        <v/>
      </c>
      <c r="W643">
        <f>IF(V643&lt;&gt;"",NETWORKDAYS(TODAY(),V643),"")</f>
        <v/>
      </c>
      <c r="X643">
        <f>IF(AN643="Complete","Complete",IF(W643&lt;0,"Overdue",IF(W643&lt;=U643*0.2,"At Risk","On Track")))</f>
        <v/>
      </c>
    </row>
    <row r="644">
      <c r="K644">
        <f>IF(J644="v4.0",L644,IF(J644="v3.1",M644,IF(J644="Both",L644,IF(AND(L644&lt;&gt;"",M644=""),L644,M644))))</f>
        <v/>
      </c>
      <c r="W644">
        <f>IF(V644&lt;&gt;"",NETWORKDAYS(TODAY(),V644),"")</f>
        <v/>
      </c>
      <c r="X644">
        <f>IF(AN644="Complete","Complete",IF(W644&lt;0,"Overdue",IF(W644&lt;=U644*0.2,"At Risk","On Track")))</f>
        <v/>
      </c>
    </row>
    <row r="645">
      <c r="K645">
        <f>IF(J645="v4.0",L645,IF(J645="v3.1",M645,IF(J645="Both",L645,IF(AND(L645&lt;&gt;"",M645=""),L645,M645))))</f>
        <v/>
      </c>
      <c r="W645">
        <f>IF(V645&lt;&gt;"",NETWORKDAYS(TODAY(),V645),"")</f>
        <v/>
      </c>
      <c r="X645">
        <f>IF(AN645="Complete","Complete",IF(W645&lt;0,"Overdue",IF(W645&lt;=U645*0.2,"At Risk","On Track")))</f>
        <v/>
      </c>
    </row>
    <row r="646">
      <c r="K646">
        <f>IF(J646="v4.0",L646,IF(J646="v3.1",M646,IF(J646="Both",L646,IF(AND(L646&lt;&gt;"",M646=""),L646,M646))))</f>
        <v/>
      </c>
      <c r="W646">
        <f>IF(V646&lt;&gt;"",NETWORKDAYS(TODAY(),V646),"")</f>
        <v/>
      </c>
      <c r="X646">
        <f>IF(AN646="Complete","Complete",IF(W646&lt;0,"Overdue",IF(W646&lt;=U646*0.2,"At Risk","On Track")))</f>
        <v/>
      </c>
    </row>
    <row r="647">
      <c r="K647">
        <f>IF(J647="v4.0",L647,IF(J647="v3.1",M647,IF(J647="Both",L647,IF(AND(L647&lt;&gt;"",M647=""),L647,M647))))</f>
        <v/>
      </c>
      <c r="W647">
        <f>IF(V647&lt;&gt;"",NETWORKDAYS(TODAY(),V647),"")</f>
        <v/>
      </c>
      <c r="X647">
        <f>IF(AN647="Complete","Complete",IF(W647&lt;0,"Overdue",IF(W647&lt;=U647*0.2,"At Risk","On Track")))</f>
        <v/>
      </c>
    </row>
    <row r="648">
      <c r="K648">
        <f>IF(J648="v4.0",L648,IF(J648="v3.1",M648,IF(J648="Both",L648,IF(AND(L648&lt;&gt;"",M648=""),L648,M648))))</f>
        <v/>
      </c>
      <c r="W648">
        <f>IF(V648&lt;&gt;"",NETWORKDAYS(TODAY(),V648),"")</f>
        <v/>
      </c>
      <c r="X648">
        <f>IF(AN648="Complete","Complete",IF(W648&lt;0,"Overdue",IF(W648&lt;=U648*0.2,"At Risk","On Track")))</f>
        <v/>
      </c>
    </row>
    <row r="649">
      <c r="K649">
        <f>IF(J649="v4.0",L649,IF(J649="v3.1",M649,IF(J649="Both",L649,IF(AND(L649&lt;&gt;"",M649=""),L649,M649))))</f>
        <v/>
      </c>
      <c r="W649">
        <f>IF(V649&lt;&gt;"",NETWORKDAYS(TODAY(),V649),"")</f>
        <v/>
      </c>
      <c r="X649">
        <f>IF(AN649="Complete","Complete",IF(W649&lt;0,"Overdue",IF(W649&lt;=U649*0.2,"At Risk","On Track")))</f>
        <v/>
      </c>
    </row>
    <row r="650">
      <c r="K650">
        <f>IF(J650="v4.0",L650,IF(J650="v3.1",M650,IF(J650="Both",L650,IF(AND(L650&lt;&gt;"",M650=""),L650,M650))))</f>
        <v/>
      </c>
      <c r="W650">
        <f>IF(V650&lt;&gt;"",NETWORKDAYS(TODAY(),V650),"")</f>
        <v/>
      </c>
      <c r="X650">
        <f>IF(AN650="Complete","Complete",IF(W650&lt;0,"Overdue",IF(W650&lt;=U650*0.2,"At Risk","On Track")))</f>
        <v/>
      </c>
    </row>
    <row r="651">
      <c r="K651">
        <f>IF(J651="v4.0",L651,IF(J651="v3.1",M651,IF(J651="Both",L651,IF(AND(L651&lt;&gt;"",M651=""),L651,M651))))</f>
        <v/>
      </c>
      <c r="W651">
        <f>IF(V651&lt;&gt;"",NETWORKDAYS(TODAY(),V651),"")</f>
        <v/>
      </c>
      <c r="X651">
        <f>IF(AN651="Complete","Complete",IF(W651&lt;0,"Overdue",IF(W651&lt;=U651*0.2,"At Risk","On Track")))</f>
        <v/>
      </c>
    </row>
    <row r="652">
      <c r="K652">
        <f>IF(J652="v4.0",L652,IF(J652="v3.1",M652,IF(J652="Both",L652,IF(AND(L652&lt;&gt;"",M652=""),L652,M652))))</f>
        <v/>
      </c>
      <c r="W652">
        <f>IF(V652&lt;&gt;"",NETWORKDAYS(TODAY(),V652),"")</f>
        <v/>
      </c>
      <c r="X652">
        <f>IF(AN652="Complete","Complete",IF(W652&lt;0,"Overdue",IF(W652&lt;=U652*0.2,"At Risk","On Track")))</f>
        <v/>
      </c>
    </row>
    <row r="653">
      <c r="K653">
        <f>IF(J653="v4.0",L653,IF(J653="v3.1",M653,IF(J653="Both",L653,IF(AND(L653&lt;&gt;"",M653=""),L653,M653))))</f>
        <v/>
      </c>
      <c r="W653">
        <f>IF(V653&lt;&gt;"",NETWORKDAYS(TODAY(),V653),"")</f>
        <v/>
      </c>
      <c r="X653">
        <f>IF(AN653="Complete","Complete",IF(W653&lt;0,"Overdue",IF(W653&lt;=U653*0.2,"At Risk","On Track")))</f>
        <v/>
      </c>
    </row>
    <row r="654">
      <c r="K654">
        <f>IF(J654="v4.0",L654,IF(J654="v3.1",M654,IF(J654="Both",L654,IF(AND(L654&lt;&gt;"",M654=""),L654,M654))))</f>
        <v/>
      </c>
      <c r="W654">
        <f>IF(V654&lt;&gt;"",NETWORKDAYS(TODAY(),V654),"")</f>
        <v/>
      </c>
      <c r="X654">
        <f>IF(AN654="Complete","Complete",IF(W654&lt;0,"Overdue",IF(W654&lt;=U654*0.2,"At Risk","On Track")))</f>
        <v/>
      </c>
    </row>
    <row r="655">
      <c r="K655">
        <f>IF(J655="v4.0",L655,IF(J655="v3.1",M655,IF(J655="Both",L655,IF(AND(L655&lt;&gt;"",M655=""),L655,M655))))</f>
        <v/>
      </c>
      <c r="W655">
        <f>IF(V655&lt;&gt;"",NETWORKDAYS(TODAY(),V655),"")</f>
        <v/>
      </c>
      <c r="X655">
        <f>IF(AN655="Complete","Complete",IF(W655&lt;0,"Overdue",IF(W655&lt;=U655*0.2,"At Risk","On Track")))</f>
        <v/>
      </c>
    </row>
    <row r="656">
      <c r="K656">
        <f>IF(J656="v4.0",L656,IF(J656="v3.1",M656,IF(J656="Both",L656,IF(AND(L656&lt;&gt;"",M656=""),L656,M656))))</f>
        <v/>
      </c>
      <c r="W656">
        <f>IF(V656&lt;&gt;"",NETWORKDAYS(TODAY(),V656),"")</f>
        <v/>
      </c>
      <c r="X656">
        <f>IF(AN656="Complete","Complete",IF(W656&lt;0,"Overdue",IF(W656&lt;=U656*0.2,"At Risk","On Track")))</f>
        <v/>
      </c>
    </row>
    <row r="657">
      <c r="K657">
        <f>IF(J657="v4.0",L657,IF(J657="v3.1",M657,IF(J657="Both",L657,IF(AND(L657&lt;&gt;"",M657=""),L657,M657))))</f>
        <v/>
      </c>
      <c r="W657">
        <f>IF(V657&lt;&gt;"",NETWORKDAYS(TODAY(),V657),"")</f>
        <v/>
      </c>
      <c r="X657">
        <f>IF(AN657="Complete","Complete",IF(W657&lt;0,"Overdue",IF(W657&lt;=U657*0.2,"At Risk","On Track")))</f>
        <v/>
      </c>
    </row>
    <row r="658">
      <c r="K658">
        <f>IF(J658="v4.0",L658,IF(J658="v3.1",M658,IF(J658="Both",L658,IF(AND(L658&lt;&gt;"",M658=""),L658,M658))))</f>
        <v/>
      </c>
      <c r="W658">
        <f>IF(V658&lt;&gt;"",NETWORKDAYS(TODAY(),V658),"")</f>
        <v/>
      </c>
      <c r="X658">
        <f>IF(AN658="Complete","Complete",IF(W658&lt;0,"Overdue",IF(W658&lt;=U658*0.2,"At Risk","On Track")))</f>
        <v/>
      </c>
    </row>
    <row r="659">
      <c r="K659">
        <f>IF(J659="v4.0",L659,IF(J659="v3.1",M659,IF(J659="Both",L659,IF(AND(L659&lt;&gt;"",M659=""),L659,M659))))</f>
        <v/>
      </c>
      <c r="W659">
        <f>IF(V659&lt;&gt;"",NETWORKDAYS(TODAY(),V659),"")</f>
        <v/>
      </c>
      <c r="X659">
        <f>IF(AN659="Complete","Complete",IF(W659&lt;0,"Overdue",IF(W659&lt;=U659*0.2,"At Risk","On Track")))</f>
        <v/>
      </c>
    </row>
    <row r="660">
      <c r="K660">
        <f>IF(J660="v4.0",L660,IF(J660="v3.1",M660,IF(J660="Both",L660,IF(AND(L660&lt;&gt;"",M660=""),L660,M660))))</f>
        <v/>
      </c>
      <c r="W660">
        <f>IF(V660&lt;&gt;"",NETWORKDAYS(TODAY(),V660),"")</f>
        <v/>
      </c>
      <c r="X660">
        <f>IF(AN660="Complete","Complete",IF(W660&lt;0,"Overdue",IF(W660&lt;=U660*0.2,"At Risk","On Track")))</f>
        <v/>
      </c>
    </row>
    <row r="661">
      <c r="K661">
        <f>IF(J661="v4.0",L661,IF(J661="v3.1",M661,IF(J661="Both",L661,IF(AND(L661&lt;&gt;"",M661=""),L661,M661))))</f>
        <v/>
      </c>
      <c r="W661">
        <f>IF(V661&lt;&gt;"",NETWORKDAYS(TODAY(),V661),"")</f>
        <v/>
      </c>
      <c r="X661">
        <f>IF(AN661="Complete","Complete",IF(W661&lt;0,"Overdue",IF(W661&lt;=U661*0.2,"At Risk","On Track")))</f>
        <v/>
      </c>
    </row>
    <row r="662">
      <c r="K662">
        <f>IF(J662="v4.0",L662,IF(J662="v3.1",M662,IF(J662="Both",L662,IF(AND(L662&lt;&gt;"",M662=""),L662,M662))))</f>
        <v/>
      </c>
      <c r="W662">
        <f>IF(V662&lt;&gt;"",NETWORKDAYS(TODAY(),V662),"")</f>
        <v/>
      </c>
      <c r="X662">
        <f>IF(AN662="Complete","Complete",IF(W662&lt;0,"Overdue",IF(W662&lt;=U662*0.2,"At Risk","On Track")))</f>
        <v/>
      </c>
    </row>
    <row r="663">
      <c r="K663">
        <f>IF(J663="v4.0",L663,IF(J663="v3.1",M663,IF(J663="Both",L663,IF(AND(L663&lt;&gt;"",M663=""),L663,M663))))</f>
        <v/>
      </c>
      <c r="W663">
        <f>IF(V663&lt;&gt;"",NETWORKDAYS(TODAY(),V663),"")</f>
        <v/>
      </c>
      <c r="X663">
        <f>IF(AN663="Complete","Complete",IF(W663&lt;0,"Overdue",IF(W663&lt;=U663*0.2,"At Risk","On Track")))</f>
        <v/>
      </c>
    </row>
    <row r="664">
      <c r="K664">
        <f>IF(J664="v4.0",L664,IF(J664="v3.1",M664,IF(J664="Both",L664,IF(AND(L664&lt;&gt;"",M664=""),L664,M664))))</f>
        <v/>
      </c>
      <c r="W664">
        <f>IF(V664&lt;&gt;"",NETWORKDAYS(TODAY(),V664),"")</f>
        <v/>
      </c>
      <c r="X664">
        <f>IF(AN664="Complete","Complete",IF(W664&lt;0,"Overdue",IF(W664&lt;=U664*0.2,"At Risk","On Track")))</f>
        <v/>
      </c>
    </row>
    <row r="665">
      <c r="K665">
        <f>IF(J665="v4.0",L665,IF(J665="v3.1",M665,IF(J665="Both",L665,IF(AND(L665&lt;&gt;"",M665=""),L665,M665))))</f>
        <v/>
      </c>
      <c r="W665">
        <f>IF(V665&lt;&gt;"",NETWORKDAYS(TODAY(),V665),"")</f>
        <v/>
      </c>
      <c r="X665">
        <f>IF(AN665="Complete","Complete",IF(W665&lt;0,"Overdue",IF(W665&lt;=U665*0.2,"At Risk","On Track")))</f>
        <v/>
      </c>
    </row>
    <row r="666">
      <c r="K666">
        <f>IF(J666="v4.0",L666,IF(J666="v3.1",M666,IF(J666="Both",L666,IF(AND(L666&lt;&gt;"",M666=""),L666,M666))))</f>
        <v/>
      </c>
      <c r="W666">
        <f>IF(V666&lt;&gt;"",NETWORKDAYS(TODAY(),V666),"")</f>
        <v/>
      </c>
      <c r="X666">
        <f>IF(AN666="Complete","Complete",IF(W666&lt;0,"Overdue",IF(W666&lt;=U666*0.2,"At Risk","On Track")))</f>
        <v/>
      </c>
    </row>
    <row r="667">
      <c r="K667">
        <f>IF(J667="v4.0",L667,IF(J667="v3.1",M667,IF(J667="Both",L667,IF(AND(L667&lt;&gt;"",M667=""),L667,M667))))</f>
        <v/>
      </c>
      <c r="W667">
        <f>IF(V667&lt;&gt;"",NETWORKDAYS(TODAY(),V667),"")</f>
        <v/>
      </c>
      <c r="X667">
        <f>IF(AN667="Complete","Complete",IF(W667&lt;0,"Overdue",IF(W667&lt;=U667*0.2,"At Risk","On Track")))</f>
        <v/>
      </c>
    </row>
    <row r="668">
      <c r="K668">
        <f>IF(J668="v4.0",L668,IF(J668="v3.1",M668,IF(J668="Both",L668,IF(AND(L668&lt;&gt;"",M668=""),L668,M668))))</f>
        <v/>
      </c>
      <c r="W668">
        <f>IF(V668&lt;&gt;"",NETWORKDAYS(TODAY(),V668),"")</f>
        <v/>
      </c>
      <c r="X668">
        <f>IF(AN668="Complete","Complete",IF(W668&lt;0,"Overdue",IF(W668&lt;=U668*0.2,"At Risk","On Track")))</f>
        <v/>
      </c>
    </row>
    <row r="669">
      <c r="K669">
        <f>IF(J669="v4.0",L669,IF(J669="v3.1",M669,IF(J669="Both",L669,IF(AND(L669&lt;&gt;"",M669=""),L669,M669))))</f>
        <v/>
      </c>
      <c r="W669">
        <f>IF(V669&lt;&gt;"",NETWORKDAYS(TODAY(),V669),"")</f>
        <v/>
      </c>
      <c r="X669">
        <f>IF(AN669="Complete","Complete",IF(W669&lt;0,"Overdue",IF(W669&lt;=U669*0.2,"At Risk","On Track")))</f>
        <v/>
      </c>
    </row>
    <row r="670">
      <c r="K670">
        <f>IF(J670="v4.0",L670,IF(J670="v3.1",M670,IF(J670="Both",L670,IF(AND(L670&lt;&gt;"",M670=""),L670,M670))))</f>
        <v/>
      </c>
      <c r="W670">
        <f>IF(V670&lt;&gt;"",NETWORKDAYS(TODAY(),V670),"")</f>
        <v/>
      </c>
      <c r="X670">
        <f>IF(AN670="Complete","Complete",IF(W670&lt;0,"Overdue",IF(W670&lt;=U670*0.2,"At Risk","On Track")))</f>
        <v/>
      </c>
    </row>
    <row r="671">
      <c r="K671">
        <f>IF(J671="v4.0",L671,IF(J671="v3.1",M671,IF(J671="Both",L671,IF(AND(L671&lt;&gt;"",M671=""),L671,M671))))</f>
        <v/>
      </c>
      <c r="W671">
        <f>IF(V671&lt;&gt;"",NETWORKDAYS(TODAY(),V671),"")</f>
        <v/>
      </c>
      <c r="X671">
        <f>IF(AN671="Complete","Complete",IF(W671&lt;0,"Overdue",IF(W671&lt;=U671*0.2,"At Risk","On Track")))</f>
        <v/>
      </c>
    </row>
    <row r="672">
      <c r="K672">
        <f>IF(J672="v4.0",L672,IF(J672="v3.1",M672,IF(J672="Both",L672,IF(AND(L672&lt;&gt;"",M672=""),L672,M672))))</f>
        <v/>
      </c>
      <c r="W672">
        <f>IF(V672&lt;&gt;"",NETWORKDAYS(TODAY(),V672),"")</f>
        <v/>
      </c>
      <c r="X672">
        <f>IF(AN672="Complete","Complete",IF(W672&lt;0,"Overdue",IF(W672&lt;=U672*0.2,"At Risk","On Track")))</f>
        <v/>
      </c>
    </row>
    <row r="673">
      <c r="K673">
        <f>IF(J673="v4.0",L673,IF(J673="v3.1",M673,IF(J673="Both",L673,IF(AND(L673&lt;&gt;"",M673=""),L673,M673))))</f>
        <v/>
      </c>
      <c r="W673">
        <f>IF(V673&lt;&gt;"",NETWORKDAYS(TODAY(),V673),"")</f>
        <v/>
      </c>
      <c r="X673">
        <f>IF(AN673="Complete","Complete",IF(W673&lt;0,"Overdue",IF(W673&lt;=U673*0.2,"At Risk","On Track")))</f>
        <v/>
      </c>
    </row>
    <row r="674">
      <c r="K674">
        <f>IF(J674="v4.0",L674,IF(J674="v3.1",M674,IF(J674="Both",L674,IF(AND(L674&lt;&gt;"",M674=""),L674,M674))))</f>
        <v/>
      </c>
      <c r="W674">
        <f>IF(V674&lt;&gt;"",NETWORKDAYS(TODAY(),V674),"")</f>
        <v/>
      </c>
      <c r="X674">
        <f>IF(AN674="Complete","Complete",IF(W674&lt;0,"Overdue",IF(W674&lt;=U674*0.2,"At Risk","On Track")))</f>
        <v/>
      </c>
    </row>
    <row r="675">
      <c r="K675">
        <f>IF(J675="v4.0",L675,IF(J675="v3.1",M675,IF(J675="Both",L675,IF(AND(L675&lt;&gt;"",M675=""),L675,M675))))</f>
        <v/>
      </c>
      <c r="W675">
        <f>IF(V675&lt;&gt;"",NETWORKDAYS(TODAY(),V675),"")</f>
        <v/>
      </c>
      <c r="X675">
        <f>IF(AN675="Complete","Complete",IF(W675&lt;0,"Overdue",IF(W675&lt;=U675*0.2,"At Risk","On Track")))</f>
        <v/>
      </c>
    </row>
    <row r="676">
      <c r="K676">
        <f>IF(J676="v4.0",L676,IF(J676="v3.1",M676,IF(J676="Both",L676,IF(AND(L676&lt;&gt;"",M676=""),L676,M676))))</f>
        <v/>
      </c>
      <c r="W676">
        <f>IF(V676&lt;&gt;"",NETWORKDAYS(TODAY(),V676),"")</f>
        <v/>
      </c>
      <c r="X676">
        <f>IF(AN676="Complete","Complete",IF(W676&lt;0,"Overdue",IF(W676&lt;=U676*0.2,"At Risk","On Track")))</f>
        <v/>
      </c>
    </row>
    <row r="677">
      <c r="K677">
        <f>IF(J677="v4.0",L677,IF(J677="v3.1",M677,IF(J677="Both",L677,IF(AND(L677&lt;&gt;"",M677=""),L677,M677))))</f>
        <v/>
      </c>
      <c r="W677">
        <f>IF(V677&lt;&gt;"",NETWORKDAYS(TODAY(),V677),"")</f>
        <v/>
      </c>
      <c r="X677">
        <f>IF(AN677="Complete","Complete",IF(W677&lt;0,"Overdue",IF(W677&lt;=U677*0.2,"At Risk","On Track")))</f>
        <v/>
      </c>
    </row>
    <row r="678">
      <c r="K678">
        <f>IF(J678="v4.0",L678,IF(J678="v3.1",M678,IF(J678="Both",L678,IF(AND(L678&lt;&gt;"",M678=""),L678,M678))))</f>
        <v/>
      </c>
      <c r="W678">
        <f>IF(V678&lt;&gt;"",NETWORKDAYS(TODAY(),V678),"")</f>
        <v/>
      </c>
      <c r="X678">
        <f>IF(AN678="Complete","Complete",IF(W678&lt;0,"Overdue",IF(W678&lt;=U678*0.2,"At Risk","On Track")))</f>
        <v/>
      </c>
    </row>
    <row r="679">
      <c r="K679">
        <f>IF(J679="v4.0",L679,IF(J679="v3.1",M679,IF(J679="Both",L679,IF(AND(L679&lt;&gt;"",M679=""),L679,M679))))</f>
        <v/>
      </c>
      <c r="W679">
        <f>IF(V679&lt;&gt;"",NETWORKDAYS(TODAY(),V679),"")</f>
        <v/>
      </c>
      <c r="X679">
        <f>IF(AN679="Complete","Complete",IF(W679&lt;0,"Overdue",IF(W679&lt;=U679*0.2,"At Risk","On Track")))</f>
        <v/>
      </c>
    </row>
    <row r="680">
      <c r="K680">
        <f>IF(J680="v4.0",L680,IF(J680="v3.1",M680,IF(J680="Both",L680,IF(AND(L680&lt;&gt;"",M680=""),L680,M680))))</f>
        <v/>
      </c>
      <c r="W680">
        <f>IF(V680&lt;&gt;"",NETWORKDAYS(TODAY(),V680),"")</f>
        <v/>
      </c>
      <c r="X680">
        <f>IF(AN680="Complete","Complete",IF(W680&lt;0,"Overdue",IF(W680&lt;=U680*0.2,"At Risk","On Track")))</f>
        <v/>
      </c>
    </row>
    <row r="681">
      <c r="K681">
        <f>IF(J681="v4.0",L681,IF(J681="v3.1",M681,IF(J681="Both",L681,IF(AND(L681&lt;&gt;"",M681=""),L681,M681))))</f>
        <v/>
      </c>
      <c r="W681">
        <f>IF(V681&lt;&gt;"",NETWORKDAYS(TODAY(),V681),"")</f>
        <v/>
      </c>
      <c r="X681">
        <f>IF(AN681="Complete","Complete",IF(W681&lt;0,"Overdue",IF(W681&lt;=U681*0.2,"At Risk","On Track")))</f>
        <v/>
      </c>
    </row>
    <row r="682">
      <c r="K682">
        <f>IF(J682="v4.0",L682,IF(J682="v3.1",M682,IF(J682="Both",L682,IF(AND(L682&lt;&gt;"",M682=""),L682,M682))))</f>
        <v/>
      </c>
      <c r="W682">
        <f>IF(V682&lt;&gt;"",NETWORKDAYS(TODAY(),V682),"")</f>
        <v/>
      </c>
      <c r="X682">
        <f>IF(AN682="Complete","Complete",IF(W682&lt;0,"Overdue",IF(W682&lt;=U682*0.2,"At Risk","On Track")))</f>
        <v/>
      </c>
    </row>
    <row r="683">
      <c r="K683">
        <f>IF(J683="v4.0",L683,IF(J683="v3.1",M683,IF(J683="Both",L683,IF(AND(L683&lt;&gt;"",M683=""),L683,M683))))</f>
        <v/>
      </c>
      <c r="W683">
        <f>IF(V683&lt;&gt;"",NETWORKDAYS(TODAY(),V683),"")</f>
        <v/>
      </c>
      <c r="X683">
        <f>IF(AN683="Complete","Complete",IF(W683&lt;0,"Overdue",IF(W683&lt;=U683*0.2,"At Risk","On Track")))</f>
        <v/>
      </c>
    </row>
    <row r="684">
      <c r="K684">
        <f>IF(J684="v4.0",L684,IF(J684="v3.1",M684,IF(J684="Both",L684,IF(AND(L684&lt;&gt;"",M684=""),L684,M684))))</f>
        <v/>
      </c>
      <c r="W684">
        <f>IF(V684&lt;&gt;"",NETWORKDAYS(TODAY(),V684),"")</f>
        <v/>
      </c>
      <c r="X684">
        <f>IF(AN684="Complete","Complete",IF(W684&lt;0,"Overdue",IF(W684&lt;=U684*0.2,"At Risk","On Track")))</f>
        <v/>
      </c>
    </row>
    <row r="685">
      <c r="K685">
        <f>IF(J685="v4.0",L685,IF(J685="v3.1",M685,IF(J685="Both",L685,IF(AND(L685&lt;&gt;"",M685=""),L685,M685))))</f>
        <v/>
      </c>
      <c r="W685">
        <f>IF(V685&lt;&gt;"",NETWORKDAYS(TODAY(),V685),"")</f>
        <v/>
      </c>
      <c r="X685">
        <f>IF(AN685="Complete","Complete",IF(W685&lt;0,"Overdue",IF(W685&lt;=U685*0.2,"At Risk","On Track")))</f>
        <v/>
      </c>
    </row>
    <row r="686">
      <c r="K686">
        <f>IF(J686="v4.0",L686,IF(J686="v3.1",M686,IF(J686="Both",L686,IF(AND(L686&lt;&gt;"",M686=""),L686,M686))))</f>
        <v/>
      </c>
      <c r="W686">
        <f>IF(V686&lt;&gt;"",NETWORKDAYS(TODAY(),V686),"")</f>
        <v/>
      </c>
      <c r="X686">
        <f>IF(AN686="Complete","Complete",IF(W686&lt;0,"Overdue",IF(W686&lt;=U686*0.2,"At Risk","On Track")))</f>
        <v/>
      </c>
    </row>
    <row r="687">
      <c r="K687">
        <f>IF(J687="v4.0",L687,IF(J687="v3.1",M687,IF(J687="Both",L687,IF(AND(L687&lt;&gt;"",M687=""),L687,M687))))</f>
        <v/>
      </c>
      <c r="W687">
        <f>IF(V687&lt;&gt;"",NETWORKDAYS(TODAY(),V687),"")</f>
        <v/>
      </c>
      <c r="X687">
        <f>IF(AN687="Complete","Complete",IF(W687&lt;0,"Overdue",IF(W687&lt;=U687*0.2,"At Risk","On Track")))</f>
        <v/>
      </c>
    </row>
    <row r="688">
      <c r="K688">
        <f>IF(J688="v4.0",L688,IF(J688="v3.1",M688,IF(J688="Both",L688,IF(AND(L688&lt;&gt;"",M688=""),L688,M688))))</f>
        <v/>
      </c>
      <c r="W688">
        <f>IF(V688&lt;&gt;"",NETWORKDAYS(TODAY(),V688),"")</f>
        <v/>
      </c>
      <c r="X688">
        <f>IF(AN688="Complete","Complete",IF(W688&lt;0,"Overdue",IF(W688&lt;=U688*0.2,"At Risk","On Track")))</f>
        <v/>
      </c>
    </row>
    <row r="689">
      <c r="K689">
        <f>IF(J689="v4.0",L689,IF(J689="v3.1",M689,IF(J689="Both",L689,IF(AND(L689&lt;&gt;"",M689=""),L689,M689))))</f>
        <v/>
      </c>
      <c r="W689">
        <f>IF(V689&lt;&gt;"",NETWORKDAYS(TODAY(),V689),"")</f>
        <v/>
      </c>
      <c r="X689">
        <f>IF(AN689="Complete","Complete",IF(W689&lt;0,"Overdue",IF(W689&lt;=U689*0.2,"At Risk","On Track")))</f>
        <v/>
      </c>
    </row>
    <row r="690">
      <c r="K690">
        <f>IF(J690="v4.0",L690,IF(J690="v3.1",M690,IF(J690="Both",L690,IF(AND(L690&lt;&gt;"",M690=""),L690,M690))))</f>
        <v/>
      </c>
      <c r="W690">
        <f>IF(V690&lt;&gt;"",NETWORKDAYS(TODAY(),V690),"")</f>
        <v/>
      </c>
      <c r="X690">
        <f>IF(AN690="Complete","Complete",IF(W690&lt;0,"Overdue",IF(W690&lt;=U690*0.2,"At Risk","On Track")))</f>
        <v/>
      </c>
    </row>
    <row r="691">
      <c r="K691">
        <f>IF(J691="v4.0",L691,IF(J691="v3.1",M691,IF(J691="Both",L691,IF(AND(L691&lt;&gt;"",M691=""),L691,M691))))</f>
        <v/>
      </c>
      <c r="W691">
        <f>IF(V691&lt;&gt;"",NETWORKDAYS(TODAY(),V691),"")</f>
        <v/>
      </c>
      <c r="X691">
        <f>IF(AN691="Complete","Complete",IF(W691&lt;0,"Overdue",IF(W691&lt;=U691*0.2,"At Risk","On Track")))</f>
        <v/>
      </c>
    </row>
    <row r="692">
      <c r="K692">
        <f>IF(J692="v4.0",L692,IF(J692="v3.1",M692,IF(J692="Both",L692,IF(AND(L692&lt;&gt;"",M692=""),L692,M692))))</f>
        <v/>
      </c>
      <c r="W692">
        <f>IF(V692&lt;&gt;"",NETWORKDAYS(TODAY(),V692),"")</f>
        <v/>
      </c>
      <c r="X692">
        <f>IF(AN692="Complete","Complete",IF(W692&lt;0,"Overdue",IF(W692&lt;=U692*0.2,"At Risk","On Track")))</f>
        <v/>
      </c>
    </row>
    <row r="693">
      <c r="K693">
        <f>IF(J693="v4.0",L693,IF(J693="v3.1",M693,IF(J693="Both",L693,IF(AND(L693&lt;&gt;"",M693=""),L693,M693))))</f>
        <v/>
      </c>
      <c r="W693">
        <f>IF(V693&lt;&gt;"",NETWORKDAYS(TODAY(),V693),"")</f>
        <v/>
      </c>
      <c r="X693">
        <f>IF(AN693="Complete","Complete",IF(W693&lt;0,"Overdue",IF(W693&lt;=U693*0.2,"At Risk","On Track")))</f>
        <v/>
      </c>
    </row>
    <row r="694">
      <c r="K694">
        <f>IF(J694="v4.0",L694,IF(J694="v3.1",M694,IF(J694="Both",L694,IF(AND(L694&lt;&gt;"",M694=""),L694,M694))))</f>
        <v/>
      </c>
      <c r="W694">
        <f>IF(V694&lt;&gt;"",NETWORKDAYS(TODAY(),V694),"")</f>
        <v/>
      </c>
      <c r="X694">
        <f>IF(AN694="Complete","Complete",IF(W694&lt;0,"Overdue",IF(W694&lt;=U694*0.2,"At Risk","On Track")))</f>
        <v/>
      </c>
    </row>
    <row r="695">
      <c r="K695">
        <f>IF(J695="v4.0",L695,IF(J695="v3.1",M695,IF(J695="Both",L695,IF(AND(L695&lt;&gt;"",M695=""),L695,M695))))</f>
        <v/>
      </c>
      <c r="W695">
        <f>IF(V695&lt;&gt;"",NETWORKDAYS(TODAY(),V695),"")</f>
        <v/>
      </c>
      <c r="X695">
        <f>IF(AN695="Complete","Complete",IF(W695&lt;0,"Overdue",IF(W695&lt;=U695*0.2,"At Risk","On Track")))</f>
        <v/>
      </c>
    </row>
    <row r="696">
      <c r="K696">
        <f>IF(J696="v4.0",L696,IF(J696="v3.1",M696,IF(J696="Both",L696,IF(AND(L696&lt;&gt;"",M696=""),L696,M696))))</f>
        <v/>
      </c>
      <c r="W696">
        <f>IF(V696&lt;&gt;"",NETWORKDAYS(TODAY(),V696),"")</f>
        <v/>
      </c>
      <c r="X696">
        <f>IF(AN696="Complete","Complete",IF(W696&lt;0,"Overdue",IF(W696&lt;=U696*0.2,"At Risk","On Track")))</f>
        <v/>
      </c>
    </row>
    <row r="697">
      <c r="K697">
        <f>IF(J697="v4.0",L697,IF(J697="v3.1",M697,IF(J697="Both",L697,IF(AND(L697&lt;&gt;"",M697=""),L697,M697))))</f>
        <v/>
      </c>
      <c r="W697">
        <f>IF(V697&lt;&gt;"",NETWORKDAYS(TODAY(),V697),"")</f>
        <v/>
      </c>
      <c r="X697">
        <f>IF(AN697="Complete","Complete",IF(W697&lt;0,"Overdue",IF(W697&lt;=U697*0.2,"At Risk","On Track")))</f>
        <v/>
      </c>
    </row>
    <row r="698">
      <c r="K698">
        <f>IF(J698="v4.0",L698,IF(J698="v3.1",M698,IF(J698="Both",L698,IF(AND(L698&lt;&gt;"",M698=""),L698,M698))))</f>
        <v/>
      </c>
      <c r="W698">
        <f>IF(V698&lt;&gt;"",NETWORKDAYS(TODAY(),V698),"")</f>
        <v/>
      </c>
      <c r="X698">
        <f>IF(AN698="Complete","Complete",IF(W698&lt;0,"Overdue",IF(W698&lt;=U698*0.2,"At Risk","On Track")))</f>
        <v/>
      </c>
    </row>
    <row r="699">
      <c r="K699">
        <f>IF(J699="v4.0",L699,IF(J699="v3.1",M699,IF(J699="Both",L699,IF(AND(L699&lt;&gt;"",M699=""),L699,M699))))</f>
        <v/>
      </c>
      <c r="W699">
        <f>IF(V699&lt;&gt;"",NETWORKDAYS(TODAY(),V699),"")</f>
        <v/>
      </c>
      <c r="X699">
        <f>IF(AN699="Complete","Complete",IF(W699&lt;0,"Overdue",IF(W699&lt;=U699*0.2,"At Risk","On Track")))</f>
        <v/>
      </c>
    </row>
    <row r="700">
      <c r="K700">
        <f>IF(J700="v4.0",L700,IF(J700="v3.1",M700,IF(J700="Both",L700,IF(AND(L700&lt;&gt;"",M700=""),L700,M700))))</f>
        <v/>
      </c>
      <c r="W700">
        <f>IF(V700&lt;&gt;"",NETWORKDAYS(TODAY(),V700),"")</f>
        <v/>
      </c>
      <c r="X700">
        <f>IF(AN700="Complete","Complete",IF(W700&lt;0,"Overdue",IF(W700&lt;=U700*0.2,"At Risk","On Track")))</f>
        <v/>
      </c>
    </row>
    <row r="701">
      <c r="K701">
        <f>IF(J701="v4.0",L701,IF(J701="v3.1",M701,IF(J701="Both",L701,IF(AND(L701&lt;&gt;"",M701=""),L701,M701))))</f>
        <v/>
      </c>
      <c r="W701">
        <f>IF(V701&lt;&gt;"",NETWORKDAYS(TODAY(),V701),"")</f>
        <v/>
      </c>
      <c r="X701">
        <f>IF(AN701="Complete","Complete",IF(W701&lt;0,"Overdue",IF(W701&lt;=U701*0.2,"At Risk","On Track")))</f>
        <v/>
      </c>
    </row>
    <row r="702">
      <c r="K702">
        <f>IF(J702="v4.0",L702,IF(J702="v3.1",M702,IF(J702="Both",L702,IF(AND(L702&lt;&gt;"",M702=""),L702,M702))))</f>
        <v/>
      </c>
      <c r="W702">
        <f>IF(V702&lt;&gt;"",NETWORKDAYS(TODAY(),V702),"")</f>
        <v/>
      </c>
      <c r="X702">
        <f>IF(AN702="Complete","Complete",IF(W702&lt;0,"Overdue",IF(W702&lt;=U702*0.2,"At Risk","On Track")))</f>
        <v/>
      </c>
    </row>
    <row r="703">
      <c r="K703">
        <f>IF(J703="v4.0",L703,IF(J703="v3.1",M703,IF(J703="Both",L703,IF(AND(L703&lt;&gt;"",M703=""),L703,M703))))</f>
        <v/>
      </c>
      <c r="W703">
        <f>IF(V703&lt;&gt;"",NETWORKDAYS(TODAY(),V703),"")</f>
        <v/>
      </c>
      <c r="X703">
        <f>IF(AN703="Complete","Complete",IF(W703&lt;0,"Overdue",IF(W703&lt;=U703*0.2,"At Risk","On Track")))</f>
        <v/>
      </c>
    </row>
    <row r="704">
      <c r="K704">
        <f>IF(J704="v4.0",L704,IF(J704="v3.1",M704,IF(J704="Both",L704,IF(AND(L704&lt;&gt;"",M704=""),L704,M704))))</f>
        <v/>
      </c>
      <c r="W704">
        <f>IF(V704&lt;&gt;"",NETWORKDAYS(TODAY(),V704),"")</f>
        <v/>
      </c>
      <c r="X704">
        <f>IF(AN704="Complete","Complete",IF(W704&lt;0,"Overdue",IF(W704&lt;=U704*0.2,"At Risk","On Track")))</f>
        <v/>
      </c>
    </row>
    <row r="705">
      <c r="K705">
        <f>IF(J705="v4.0",L705,IF(J705="v3.1",M705,IF(J705="Both",L705,IF(AND(L705&lt;&gt;"",M705=""),L705,M705))))</f>
        <v/>
      </c>
      <c r="W705">
        <f>IF(V705&lt;&gt;"",NETWORKDAYS(TODAY(),V705),"")</f>
        <v/>
      </c>
      <c r="X705">
        <f>IF(AN705="Complete","Complete",IF(W705&lt;0,"Overdue",IF(W705&lt;=U705*0.2,"At Risk","On Track")))</f>
        <v/>
      </c>
    </row>
    <row r="706">
      <c r="K706">
        <f>IF(J706="v4.0",L706,IF(J706="v3.1",M706,IF(J706="Both",L706,IF(AND(L706&lt;&gt;"",M706=""),L706,M706))))</f>
        <v/>
      </c>
      <c r="W706">
        <f>IF(V706&lt;&gt;"",NETWORKDAYS(TODAY(),V706),"")</f>
        <v/>
      </c>
      <c r="X706">
        <f>IF(AN706="Complete","Complete",IF(W706&lt;0,"Overdue",IF(W706&lt;=U706*0.2,"At Risk","On Track")))</f>
        <v/>
      </c>
    </row>
    <row r="707">
      <c r="K707">
        <f>IF(J707="v4.0",L707,IF(J707="v3.1",M707,IF(J707="Both",L707,IF(AND(L707&lt;&gt;"",M707=""),L707,M707))))</f>
        <v/>
      </c>
      <c r="W707">
        <f>IF(V707&lt;&gt;"",NETWORKDAYS(TODAY(),V707),"")</f>
        <v/>
      </c>
      <c r="X707">
        <f>IF(AN707="Complete","Complete",IF(W707&lt;0,"Overdue",IF(W707&lt;=U707*0.2,"At Risk","On Track")))</f>
        <v/>
      </c>
    </row>
    <row r="708">
      <c r="K708">
        <f>IF(J708="v4.0",L708,IF(J708="v3.1",M708,IF(J708="Both",L708,IF(AND(L708&lt;&gt;"",M708=""),L708,M708))))</f>
        <v/>
      </c>
      <c r="W708">
        <f>IF(V708&lt;&gt;"",NETWORKDAYS(TODAY(),V708),"")</f>
        <v/>
      </c>
      <c r="X708">
        <f>IF(AN708="Complete","Complete",IF(W708&lt;0,"Overdue",IF(W708&lt;=U708*0.2,"At Risk","On Track")))</f>
        <v/>
      </c>
    </row>
    <row r="709">
      <c r="K709">
        <f>IF(J709="v4.0",L709,IF(J709="v3.1",M709,IF(J709="Both",L709,IF(AND(L709&lt;&gt;"",M709=""),L709,M709))))</f>
        <v/>
      </c>
      <c r="W709">
        <f>IF(V709&lt;&gt;"",NETWORKDAYS(TODAY(),V709),"")</f>
        <v/>
      </c>
      <c r="X709">
        <f>IF(AN709="Complete","Complete",IF(W709&lt;0,"Overdue",IF(W709&lt;=U709*0.2,"At Risk","On Track")))</f>
        <v/>
      </c>
    </row>
    <row r="710">
      <c r="K710">
        <f>IF(J710="v4.0",L710,IF(J710="v3.1",M710,IF(J710="Both",L710,IF(AND(L710&lt;&gt;"",M710=""),L710,M710))))</f>
        <v/>
      </c>
      <c r="W710">
        <f>IF(V710&lt;&gt;"",NETWORKDAYS(TODAY(),V710),"")</f>
        <v/>
      </c>
      <c r="X710">
        <f>IF(AN710="Complete","Complete",IF(W710&lt;0,"Overdue",IF(W710&lt;=U710*0.2,"At Risk","On Track")))</f>
        <v/>
      </c>
    </row>
    <row r="711">
      <c r="K711">
        <f>IF(J711="v4.0",L711,IF(J711="v3.1",M711,IF(J711="Both",L711,IF(AND(L711&lt;&gt;"",M711=""),L711,M711))))</f>
        <v/>
      </c>
      <c r="W711">
        <f>IF(V711&lt;&gt;"",NETWORKDAYS(TODAY(),V711),"")</f>
        <v/>
      </c>
      <c r="X711">
        <f>IF(AN711="Complete","Complete",IF(W711&lt;0,"Overdue",IF(W711&lt;=U711*0.2,"At Risk","On Track")))</f>
        <v/>
      </c>
    </row>
    <row r="712">
      <c r="K712">
        <f>IF(J712="v4.0",L712,IF(J712="v3.1",M712,IF(J712="Both",L712,IF(AND(L712&lt;&gt;"",M712=""),L712,M712))))</f>
        <v/>
      </c>
      <c r="W712">
        <f>IF(V712&lt;&gt;"",NETWORKDAYS(TODAY(),V712),"")</f>
        <v/>
      </c>
      <c r="X712">
        <f>IF(AN712="Complete","Complete",IF(W712&lt;0,"Overdue",IF(W712&lt;=U712*0.2,"At Risk","On Track")))</f>
        <v/>
      </c>
    </row>
    <row r="713">
      <c r="K713">
        <f>IF(J713="v4.0",L713,IF(J713="v3.1",M713,IF(J713="Both",L713,IF(AND(L713&lt;&gt;"",M713=""),L713,M713))))</f>
        <v/>
      </c>
      <c r="W713">
        <f>IF(V713&lt;&gt;"",NETWORKDAYS(TODAY(),V713),"")</f>
        <v/>
      </c>
      <c r="X713">
        <f>IF(AN713="Complete","Complete",IF(W713&lt;0,"Overdue",IF(W713&lt;=U713*0.2,"At Risk","On Track")))</f>
        <v/>
      </c>
    </row>
    <row r="714">
      <c r="K714">
        <f>IF(J714="v4.0",L714,IF(J714="v3.1",M714,IF(J714="Both",L714,IF(AND(L714&lt;&gt;"",M714=""),L714,M714))))</f>
        <v/>
      </c>
      <c r="W714">
        <f>IF(V714&lt;&gt;"",NETWORKDAYS(TODAY(),V714),"")</f>
        <v/>
      </c>
      <c r="X714">
        <f>IF(AN714="Complete","Complete",IF(W714&lt;0,"Overdue",IF(W714&lt;=U714*0.2,"At Risk","On Track")))</f>
        <v/>
      </c>
    </row>
    <row r="715">
      <c r="K715">
        <f>IF(J715="v4.0",L715,IF(J715="v3.1",M715,IF(J715="Both",L715,IF(AND(L715&lt;&gt;"",M715=""),L715,M715))))</f>
        <v/>
      </c>
      <c r="W715">
        <f>IF(V715&lt;&gt;"",NETWORKDAYS(TODAY(),V715),"")</f>
        <v/>
      </c>
      <c r="X715">
        <f>IF(AN715="Complete","Complete",IF(W715&lt;0,"Overdue",IF(W715&lt;=U715*0.2,"At Risk","On Track")))</f>
        <v/>
      </c>
    </row>
    <row r="716">
      <c r="K716">
        <f>IF(J716="v4.0",L716,IF(J716="v3.1",M716,IF(J716="Both",L716,IF(AND(L716&lt;&gt;"",M716=""),L716,M716))))</f>
        <v/>
      </c>
      <c r="W716">
        <f>IF(V716&lt;&gt;"",NETWORKDAYS(TODAY(),V716),"")</f>
        <v/>
      </c>
      <c r="X716">
        <f>IF(AN716="Complete","Complete",IF(W716&lt;0,"Overdue",IF(W716&lt;=U716*0.2,"At Risk","On Track")))</f>
        <v/>
      </c>
    </row>
    <row r="717">
      <c r="K717">
        <f>IF(J717="v4.0",L717,IF(J717="v3.1",M717,IF(J717="Both",L717,IF(AND(L717&lt;&gt;"",M717=""),L717,M717))))</f>
        <v/>
      </c>
      <c r="W717">
        <f>IF(V717&lt;&gt;"",NETWORKDAYS(TODAY(),V717),"")</f>
        <v/>
      </c>
      <c r="X717">
        <f>IF(AN717="Complete","Complete",IF(W717&lt;0,"Overdue",IF(W717&lt;=U717*0.2,"At Risk","On Track")))</f>
        <v/>
      </c>
    </row>
    <row r="718">
      <c r="K718">
        <f>IF(J718="v4.0",L718,IF(J718="v3.1",M718,IF(J718="Both",L718,IF(AND(L718&lt;&gt;"",M718=""),L718,M718))))</f>
        <v/>
      </c>
      <c r="W718">
        <f>IF(V718&lt;&gt;"",NETWORKDAYS(TODAY(),V718),"")</f>
        <v/>
      </c>
      <c r="X718">
        <f>IF(AN718="Complete","Complete",IF(W718&lt;0,"Overdue",IF(W718&lt;=U718*0.2,"At Risk","On Track")))</f>
        <v/>
      </c>
    </row>
    <row r="719">
      <c r="K719">
        <f>IF(J719="v4.0",L719,IF(J719="v3.1",M719,IF(J719="Both",L719,IF(AND(L719&lt;&gt;"",M719=""),L719,M719))))</f>
        <v/>
      </c>
      <c r="W719">
        <f>IF(V719&lt;&gt;"",NETWORKDAYS(TODAY(),V719),"")</f>
        <v/>
      </c>
      <c r="X719">
        <f>IF(AN719="Complete","Complete",IF(W719&lt;0,"Overdue",IF(W719&lt;=U719*0.2,"At Risk","On Track")))</f>
        <v/>
      </c>
    </row>
    <row r="720">
      <c r="K720">
        <f>IF(J720="v4.0",L720,IF(J720="v3.1",M720,IF(J720="Both",L720,IF(AND(L720&lt;&gt;"",M720=""),L720,M720))))</f>
        <v/>
      </c>
      <c r="W720">
        <f>IF(V720&lt;&gt;"",NETWORKDAYS(TODAY(),V720),"")</f>
        <v/>
      </c>
      <c r="X720">
        <f>IF(AN720="Complete","Complete",IF(W720&lt;0,"Overdue",IF(W720&lt;=U720*0.2,"At Risk","On Track")))</f>
        <v/>
      </c>
    </row>
    <row r="721">
      <c r="K721">
        <f>IF(J721="v4.0",L721,IF(J721="v3.1",M721,IF(J721="Both",L721,IF(AND(L721&lt;&gt;"",M721=""),L721,M721))))</f>
        <v/>
      </c>
      <c r="W721">
        <f>IF(V721&lt;&gt;"",NETWORKDAYS(TODAY(),V721),"")</f>
        <v/>
      </c>
      <c r="X721">
        <f>IF(AN721="Complete","Complete",IF(W721&lt;0,"Overdue",IF(W721&lt;=U721*0.2,"At Risk","On Track")))</f>
        <v/>
      </c>
    </row>
    <row r="722">
      <c r="K722">
        <f>IF(J722="v4.0",L722,IF(J722="v3.1",M722,IF(J722="Both",L722,IF(AND(L722&lt;&gt;"",M722=""),L722,M722))))</f>
        <v/>
      </c>
      <c r="W722">
        <f>IF(V722&lt;&gt;"",NETWORKDAYS(TODAY(),V722),"")</f>
        <v/>
      </c>
      <c r="X722">
        <f>IF(AN722="Complete","Complete",IF(W722&lt;0,"Overdue",IF(W722&lt;=U722*0.2,"At Risk","On Track")))</f>
        <v/>
      </c>
    </row>
    <row r="723">
      <c r="K723">
        <f>IF(J723="v4.0",L723,IF(J723="v3.1",M723,IF(J723="Both",L723,IF(AND(L723&lt;&gt;"",M723=""),L723,M723))))</f>
        <v/>
      </c>
      <c r="W723">
        <f>IF(V723&lt;&gt;"",NETWORKDAYS(TODAY(),V723),"")</f>
        <v/>
      </c>
      <c r="X723">
        <f>IF(AN723="Complete","Complete",IF(W723&lt;0,"Overdue",IF(W723&lt;=U723*0.2,"At Risk","On Track")))</f>
        <v/>
      </c>
    </row>
    <row r="724">
      <c r="K724">
        <f>IF(J724="v4.0",L724,IF(J724="v3.1",M724,IF(J724="Both",L724,IF(AND(L724&lt;&gt;"",M724=""),L724,M724))))</f>
        <v/>
      </c>
      <c r="W724">
        <f>IF(V724&lt;&gt;"",NETWORKDAYS(TODAY(),V724),"")</f>
        <v/>
      </c>
      <c r="X724">
        <f>IF(AN724="Complete","Complete",IF(W724&lt;0,"Overdue",IF(W724&lt;=U724*0.2,"At Risk","On Track")))</f>
        <v/>
      </c>
    </row>
    <row r="725">
      <c r="K725">
        <f>IF(J725="v4.0",L725,IF(J725="v3.1",M725,IF(J725="Both",L725,IF(AND(L725&lt;&gt;"",M725=""),L725,M725))))</f>
        <v/>
      </c>
      <c r="W725">
        <f>IF(V725&lt;&gt;"",NETWORKDAYS(TODAY(),V725),"")</f>
        <v/>
      </c>
      <c r="X725">
        <f>IF(AN725="Complete","Complete",IF(W725&lt;0,"Overdue",IF(W725&lt;=U725*0.2,"At Risk","On Track")))</f>
        <v/>
      </c>
    </row>
    <row r="726">
      <c r="K726">
        <f>IF(J726="v4.0",L726,IF(J726="v3.1",M726,IF(J726="Both",L726,IF(AND(L726&lt;&gt;"",M726=""),L726,M726))))</f>
        <v/>
      </c>
      <c r="W726">
        <f>IF(V726&lt;&gt;"",NETWORKDAYS(TODAY(),V726),"")</f>
        <v/>
      </c>
      <c r="X726">
        <f>IF(AN726="Complete","Complete",IF(W726&lt;0,"Overdue",IF(W726&lt;=U726*0.2,"At Risk","On Track")))</f>
        <v/>
      </c>
    </row>
    <row r="727">
      <c r="K727">
        <f>IF(J727="v4.0",L727,IF(J727="v3.1",M727,IF(J727="Both",L727,IF(AND(L727&lt;&gt;"",M727=""),L727,M727))))</f>
        <v/>
      </c>
      <c r="W727">
        <f>IF(V727&lt;&gt;"",NETWORKDAYS(TODAY(),V727),"")</f>
        <v/>
      </c>
      <c r="X727">
        <f>IF(AN727="Complete","Complete",IF(W727&lt;0,"Overdue",IF(W727&lt;=U727*0.2,"At Risk","On Track")))</f>
        <v/>
      </c>
    </row>
    <row r="728">
      <c r="K728">
        <f>IF(J728="v4.0",L728,IF(J728="v3.1",M728,IF(J728="Both",L728,IF(AND(L728&lt;&gt;"",M728=""),L728,M728))))</f>
        <v/>
      </c>
      <c r="W728">
        <f>IF(V728&lt;&gt;"",NETWORKDAYS(TODAY(),V728),"")</f>
        <v/>
      </c>
      <c r="X728">
        <f>IF(AN728="Complete","Complete",IF(W728&lt;0,"Overdue",IF(W728&lt;=U728*0.2,"At Risk","On Track")))</f>
        <v/>
      </c>
    </row>
    <row r="729">
      <c r="K729">
        <f>IF(J729="v4.0",L729,IF(J729="v3.1",M729,IF(J729="Both",L729,IF(AND(L729&lt;&gt;"",M729=""),L729,M729))))</f>
        <v/>
      </c>
      <c r="W729">
        <f>IF(V729&lt;&gt;"",NETWORKDAYS(TODAY(),V729),"")</f>
        <v/>
      </c>
      <c r="X729">
        <f>IF(AN729="Complete","Complete",IF(W729&lt;0,"Overdue",IF(W729&lt;=U729*0.2,"At Risk","On Track")))</f>
        <v/>
      </c>
    </row>
    <row r="730">
      <c r="K730">
        <f>IF(J730="v4.0",L730,IF(J730="v3.1",M730,IF(J730="Both",L730,IF(AND(L730&lt;&gt;"",M730=""),L730,M730))))</f>
        <v/>
      </c>
      <c r="W730">
        <f>IF(V730&lt;&gt;"",NETWORKDAYS(TODAY(),V730),"")</f>
        <v/>
      </c>
      <c r="X730">
        <f>IF(AN730="Complete","Complete",IF(W730&lt;0,"Overdue",IF(W730&lt;=U730*0.2,"At Risk","On Track")))</f>
        <v/>
      </c>
    </row>
    <row r="731">
      <c r="K731">
        <f>IF(J731="v4.0",L731,IF(J731="v3.1",M731,IF(J731="Both",L731,IF(AND(L731&lt;&gt;"",M731=""),L731,M731))))</f>
        <v/>
      </c>
      <c r="W731">
        <f>IF(V731&lt;&gt;"",NETWORKDAYS(TODAY(),V731),"")</f>
        <v/>
      </c>
      <c r="X731">
        <f>IF(AN731="Complete","Complete",IF(W731&lt;0,"Overdue",IF(W731&lt;=U731*0.2,"At Risk","On Track")))</f>
        <v/>
      </c>
    </row>
    <row r="732">
      <c r="K732">
        <f>IF(J732="v4.0",L732,IF(J732="v3.1",M732,IF(J732="Both",L732,IF(AND(L732&lt;&gt;"",M732=""),L732,M732))))</f>
        <v/>
      </c>
      <c r="W732">
        <f>IF(V732&lt;&gt;"",NETWORKDAYS(TODAY(),V732),"")</f>
        <v/>
      </c>
      <c r="X732">
        <f>IF(AN732="Complete","Complete",IF(W732&lt;0,"Overdue",IF(W732&lt;=U732*0.2,"At Risk","On Track")))</f>
        <v/>
      </c>
    </row>
    <row r="733">
      <c r="K733">
        <f>IF(J733="v4.0",L733,IF(J733="v3.1",M733,IF(J733="Both",L733,IF(AND(L733&lt;&gt;"",M733=""),L733,M733))))</f>
        <v/>
      </c>
      <c r="W733">
        <f>IF(V733&lt;&gt;"",NETWORKDAYS(TODAY(),V733),"")</f>
        <v/>
      </c>
      <c r="X733">
        <f>IF(AN733="Complete","Complete",IF(W733&lt;0,"Overdue",IF(W733&lt;=U733*0.2,"At Risk","On Track")))</f>
        <v/>
      </c>
    </row>
    <row r="734">
      <c r="K734">
        <f>IF(J734="v4.0",L734,IF(J734="v3.1",M734,IF(J734="Both",L734,IF(AND(L734&lt;&gt;"",M734=""),L734,M734))))</f>
        <v/>
      </c>
      <c r="W734">
        <f>IF(V734&lt;&gt;"",NETWORKDAYS(TODAY(),V734),"")</f>
        <v/>
      </c>
      <c r="X734">
        <f>IF(AN734="Complete","Complete",IF(W734&lt;0,"Overdue",IF(W734&lt;=U734*0.2,"At Risk","On Track")))</f>
        <v/>
      </c>
    </row>
    <row r="735">
      <c r="K735">
        <f>IF(J735="v4.0",L735,IF(J735="v3.1",M735,IF(J735="Both",L735,IF(AND(L735&lt;&gt;"",M735=""),L735,M735))))</f>
        <v/>
      </c>
      <c r="W735">
        <f>IF(V735&lt;&gt;"",NETWORKDAYS(TODAY(),V735),"")</f>
        <v/>
      </c>
      <c r="X735">
        <f>IF(AN735="Complete","Complete",IF(W735&lt;0,"Overdue",IF(W735&lt;=U735*0.2,"At Risk","On Track")))</f>
        <v/>
      </c>
    </row>
    <row r="736">
      <c r="K736">
        <f>IF(J736="v4.0",L736,IF(J736="v3.1",M736,IF(J736="Both",L736,IF(AND(L736&lt;&gt;"",M736=""),L736,M736))))</f>
        <v/>
      </c>
      <c r="W736">
        <f>IF(V736&lt;&gt;"",NETWORKDAYS(TODAY(),V736),"")</f>
        <v/>
      </c>
      <c r="X736">
        <f>IF(AN736="Complete","Complete",IF(W736&lt;0,"Overdue",IF(W736&lt;=U736*0.2,"At Risk","On Track")))</f>
        <v/>
      </c>
    </row>
    <row r="737">
      <c r="K737">
        <f>IF(J737="v4.0",L737,IF(J737="v3.1",M737,IF(J737="Both",L737,IF(AND(L737&lt;&gt;"",M737=""),L737,M737))))</f>
        <v/>
      </c>
      <c r="W737">
        <f>IF(V737&lt;&gt;"",NETWORKDAYS(TODAY(),V737),"")</f>
        <v/>
      </c>
      <c r="X737">
        <f>IF(AN737="Complete","Complete",IF(W737&lt;0,"Overdue",IF(W737&lt;=U737*0.2,"At Risk","On Track")))</f>
        <v/>
      </c>
    </row>
    <row r="738">
      <c r="K738">
        <f>IF(J738="v4.0",L738,IF(J738="v3.1",M738,IF(J738="Both",L738,IF(AND(L738&lt;&gt;"",M738=""),L738,M738))))</f>
        <v/>
      </c>
      <c r="W738">
        <f>IF(V738&lt;&gt;"",NETWORKDAYS(TODAY(),V738),"")</f>
        <v/>
      </c>
      <c r="X738">
        <f>IF(AN738="Complete","Complete",IF(W738&lt;0,"Overdue",IF(W738&lt;=U738*0.2,"At Risk","On Track")))</f>
        <v/>
      </c>
    </row>
    <row r="739">
      <c r="K739">
        <f>IF(J739="v4.0",L739,IF(J739="v3.1",M739,IF(J739="Both",L739,IF(AND(L739&lt;&gt;"",M739=""),L739,M739))))</f>
        <v/>
      </c>
      <c r="W739">
        <f>IF(V739&lt;&gt;"",NETWORKDAYS(TODAY(),V739),"")</f>
        <v/>
      </c>
      <c r="X739">
        <f>IF(AN739="Complete","Complete",IF(W739&lt;0,"Overdue",IF(W739&lt;=U739*0.2,"At Risk","On Track")))</f>
        <v/>
      </c>
    </row>
    <row r="740">
      <c r="K740">
        <f>IF(J740="v4.0",L740,IF(J740="v3.1",M740,IF(J740="Both",L740,IF(AND(L740&lt;&gt;"",M740=""),L740,M740))))</f>
        <v/>
      </c>
      <c r="W740">
        <f>IF(V740&lt;&gt;"",NETWORKDAYS(TODAY(),V740),"")</f>
        <v/>
      </c>
      <c r="X740">
        <f>IF(AN740="Complete","Complete",IF(W740&lt;0,"Overdue",IF(W740&lt;=U740*0.2,"At Risk","On Track")))</f>
        <v/>
      </c>
    </row>
    <row r="741">
      <c r="K741">
        <f>IF(J741="v4.0",L741,IF(J741="v3.1",M741,IF(J741="Both",L741,IF(AND(L741&lt;&gt;"",M741=""),L741,M741))))</f>
        <v/>
      </c>
      <c r="W741">
        <f>IF(V741&lt;&gt;"",NETWORKDAYS(TODAY(),V741),"")</f>
        <v/>
      </c>
      <c r="X741">
        <f>IF(AN741="Complete","Complete",IF(W741&lt;0,"Overdue",IF(W741&lt;=U741*0.2,"At Risk","On Track")))</f>
        <v/>
      </c>
    </row>
    <row r="742">
      <c r="K742">
        <f>IF(J742="v4.0",L742,IF(J742="v3.1",M742,IF(J742="Both",L742,IF(AND(L742&lt;&gt;"",M742=""),L742,M742))))</f>
        <v/>
      </c>
      <c r="W742">
        <f>IF(V742&lt;&gt;"",NETWORKDAYS(TODAY(),V742),"")</f>
        <v/>
      </c>
      <c r="X742">
        <f>IF(AN742="Complete","Complete",IF(W742&lt;0,"Overdue",IF(W742&lt;=U742*0.2,"At Risk","On Track")))</f>
        <v/>
      </c>
    </row>
    <row r="743">
      <c r="K743">
        <f>IF(J743="v4.0",L743,IF(J743="v3.1",M743,IF(J743="Both",L743,IF(AND(L743&lt;&gt;"",M743=""),L743,M743))))</f>
        <v/>
      </c>
      <c r="W743">
        <f>IF(V743&lt;&gt;"",NETWORKDAYS(TODAY(),V743),"")</f>
        <v/>
      </c>
      <c r="X743">
        <f>IF(AN743="Complete","Complete",IF(W743&lt;0,"Overdue",IF(W743&lt;=U743*0.2,"At Risk","On Track")))</f>
        <v/>
      </c>
    </row>
    <row r="744">
      <c r="K744">
        <f>IF(J744="v4.0",L744,IF(J744="v3.1",M744,IF(J744="Both",L744,IF(AND(L744&lt;&gt;"",M744=""),L744,M744))))</f>
        <v/>
      </c>
      <c r="W744">
        <f>IF(V744&lt;&gt;"",NETWORKDAYS(TODAY(),V744),"")</f>
        <v/>
      </c>
      <c r="X744">
        <f>IF(AN744="Complete","Complete",IF(W744&lt;0,"Overdue",IF(W744&lt;=U744*0.2,"At Risk","On Track")))</f>
        <v/>
      </c>
    </row>
    <row r="745">
      <c r="K745">
        <f>IF(J745="v4.0",L745,IF(J745="v3.1",M745,IF(J745="Both",L745,IF(AND(L745&lt;&gt;"",M745=""),L745,M745))))</f>
        <v/>
      </c>
      <c r="W745">
        <f>IF(V745&lt;&gt;"",NETWORKDAYS(TODAY(),V745),"")</f>
        <v/>
      </c>
      <c r="X745">
        <f>IF(AN745="Complete","Complete",IF(W745&lt;0,"Overdue",IF(W745&lt;=U745*0.2,"At Risk","On Track")))</f>
        <v/>
      </c>
    </row>
    <row r="746">
      <c r="K746">
        <f>IF(J746="v4.0",L746,IF(J746="v3.1",M746,IF(J746="Both",L746,IF(AND(L746&lt;&gt;"",M746=""),L746,M746))))</f>
        <v/>
      </c>
      <c r="W746">
        <f>IF(V746&lt;&gt;"",NETWORKDAYS(TODAY(),V746),"")</f>
        <v/>
      </c>
      <c r="X746">
        <f>IF(AN746="Complete","Complete",IF(W746&lt;0,"Overdue",IF(W746&lt;=U746*0.2,"At Risk","On Track")))</f>
        <v/>
      </c>
    </row>
    <row r="747">
      <c r="K747">
        <f>IF(J747="v4.0",L747,IF(J747="v3.1",M747,IF(J747="Both",L747,IF(AND(L747&lt;&gt;"",M747=""),L747,M747))))</f>
        <v/>
      </c>
      <c r="W747">
        <f>IF(V747&lt;&gt;"",NETWORKDAYS(TODAY(),V747),"")</f>
        <v/>
      </c>
      <c r="X747">
        <f>IF(AN747="Complete","Complete",IF(W747&lt;0,"Overdue",IF(W747&lt;=U747*0.2,"At Risk","On Track")))</f>
        <v/>
      </c>
    </row>
    <row r="748">
      <c r="K748">
        <f>IF(J748="v4.0",L748,IF(J748="v3.1",M748,IF(J748="Both",L748,IF(AND(L748&lt;&gt;"",M748=""),L748,M748))))</f>
        <v/>
      </c>
      <c r="W748">
        <f>IF(V748&lt;&gt;"",NETWORKDAYS(TODAY(),V748),"")</f>
        <v/>
      </c>
      <c r="X748">
        <f>IF(AN748="Complete","Complete",IF(W748&lt;0,"Overdue",IF(W748&lt;=U748*0.2,"At Risk","On Track")))</f>
        <v/>
      </c>
    </row>
    <row r="749">
      <c r="K749">
        <f>IF(J749="v4.0",L749,IF(J749="v3.1",M749,IF(J749="Both",L749,IF(AND(L749&lt;&gt;"",M749=""),L749,M749))))</f>
        <v/>
      </c>
      <c r="W749">
        <f>IF(V749&lt;&gt;"",NETWORKDAYS(TODAY(),V749),"")</f>
        <v/>
      </c>
      <c r="X749">
        <f>IF(AN749="Complete","Complete",IF(W749&lt;0,"Overdue",IF(W749&lt;=U749*0.2,"At Risk","On Track")))</f>
        <v/>
      </c>
    </row>
    <row r="750">
      <c r="K750">
        <f>IF(J750="v4.0",L750,IF(J750="v3.1",M750,IF(J750="Both",L750,IF(AND(L750&lt;&gt;"",M750=""),L750,M750))))</f>
        <v/>
      </c>
      <c r="W750">
        <f>IF(V750&lt;&gt;"",NETWORKDAYS(TODAY(),V750),"")</f>
        <v/>
      </c>
      <c r="X750">
        <f>IF(AN750="Complete","Complete",IF(W750&lt;0,"Overdue",IF(W750&lt;=U750*0.2,"At Risk","On Track")))</f>
        <v/>
      </c>
    </row>
    <row r="751">
      <c r="K751">
        <f>IF(J751="v4.0",L751,IF(J751="v3.1",M751,IF(J751="Both",L751,IF(AND(L751&lt;&gt;"",M751=""),L751,M751))))</f>
        <v/>
      </c>
      <c r="W751">
        <f>IF(V751&lt;&gt;"",NETWORKDAYS(TODAY(),V751),"")</f>
        <v/>
      </c>
      <c r="X751">
        <f>IF(AN751="Complete","Complete",IF(W751&lt;0,"Overdue",IF(W751&lt;=U751*0.2,"At Risk","On Track")))</f>
        <v/>
      </c>
    </row>
    <row r="752">
      <c r="K752">
        <f>IF(J752="v4.0",L752,IF(J752="v3.1",M752,IF(J752="Both",L752,IF(AND(L752&lt;&gt;"",M752=""),L752,M752))))</f>
        <v/>
      </c>
      <c r="W752">
        <f>IF(V752&lt;&gt;"",NETWORKDAYS(TODAY(),V752),"")</f>
        <v/>
      </c>
      <c r="X752">
        <f>IF(AN752="Complete","Complete",IF(W752&lt;0,"Overdue",IF(W752&lt;=U752*0.2,"At Risk","On Track")))</f>
        <v/>
      </c>
    </row>
    <row r="753">
      <c r="K753">
        <f>IF(J753="v4.0",L753,IF(J753="v3.1",M753,IF(J753="Both",L753,IF(AND(L753&lt;&gt;"",M753=""),L753,M753))))</f>
        <v/>
      </c>
      <c r="W753">
        <f>IF(V753&lt;&gt;"",NETWORKDAYS(TODAY(),V753),"")</f>
        <v/>
      </c>
      <c r="X753">
        <f>IF(AN753="Complete","Complete",IF(W753&lt;0,"Overdue",IF(W753&lt;=U753*0.2,"At Risk","On Track")))</f>
        <v/>
      </c>
    </row>
    <row r="754">
      <c r="K754">
        <f>IF(J754="v4.0",L754,IF(J754="v3.1",M754,IF(J754="Both",L754,IF(AND(L754&lt;&gt;"",M754=""),L754,M754))))</f>
        <v/>
      </c>
      <c r="W754">
        <f>IF(V754&lt;&gt;"",NETWORKDAYS(TODAY(),V754),"")</f>
        <v/>
      </c>
      <c r="X754">
        <f>IF(AN754="Complete","Complete",IF(W754&lt;0,"Overdue",IF(W754&lt;=U754*0.2,"At Risk","On Track")))</f>
        <v/>
      </c>
    </row>
    <row r="755">
      <c r="K755">
        <f>IF(J755="v4.0",L755,IF(J755="v3.1",M755,IF(J755="Both",L755,IF(AND(L755&lt;&gt;"",M755=""),L755,M755))))</f>
        <v/>
      </c>
      <c r="W755">
        <f>IF(V755&lt;&gt;"",NETWORKDAYS(TODAY(),V755),"")</f>
        <v/>
      </c>
      <c r="X755">
        <f>IF(AN755="Complete","Complete",IF(W755&lt;0,"Overdue",IF(W755&lt;=U755*0.2,"At Risk","On Track")))</f>
        <v/>
      </c>
    </row>
    <row r="756">
      <c r="K756">
        <f>IF(J756="v4.0",L756,IF(J756="v3.1",M756,IF(J756="Both",L756,IF(AND(L756&lt;&gt;"",M756=""),L756,M756))))</f>
        <v/>
      </c>
      <c r="W756">
        <f>IF(V756&lt;&gt;"",NETWORKDAYS(TODAY(),V756),"")</f>
        <v/>
      </c>
      <c r="X756">
        <f>IF(AN756="Complete","Complete",IF(W756&lt;0,"Overdue",IF(W756&lt;=U756*0.2,"At Risk","On Track")))</f>
        <v/>
      </c>
    </row>
    <row r="757">
      <c r="K757">
        <f>IF(J757="v4.0",L757,IF(J757="v3.1",M757,IF(J757="Both",L757,IF(AND(L757&lt;&gt;"",M757=""),L757,M757))))</f>
        <v/>
      </c>
      <c r="W757">
        <f>IF(V757&lt;&gt;"",NETWORKDAYS(TODAY(),V757),"")</f>
        <v/>
      </c>
      <c r="X757">
        <f>IF(AN757="Complete","Complete",IF(W757&lt;0,"Overdue",IF(W757&lt;=U757*0.2,"At Risk","On Track")))</f>
        <v/>
      </c>
    </row>
    <row r="758">
      <c r="K758">
        <f>IF(J758="v4.0",L758,IF(J758="v3.1",M758,IF(J758="Both",L758,IF(AND(L758&lt;&gt;"",M758=""),L758,M758))))</f>
        <v/>
      </c>
      <c r="W758">
        <f>IF(V758&lt;&gt;"",NETWORKDAYS(TODAY(),V758),"")</f>
        <v/>
      </c>
      <c r="X758">
        <f>IF(AN758="Complete","Complete",IF(W758&lt;0,"Overdue",IF(W758&lt;=U758*0.2,"At Risk","On Track")))</f>
        <v/>
      </c>
    </row>
    <row r="759">
      <c r="K759">
        <f>IF(J759="v4.0",L759,IF(J759="v3.1",M759,IF(J759="Both",L759,IF(AND(L759&lt;&gt;"",M759=""),L759,M759))))</f>
        <v/>
      </c>
      <c r="W759">
        <f>IF(V759&lt;&gt;"",NETWORKDAYS(TODAY(),V759),"")</f>
        <v/>
      </c>
      <c r="X759">
        <f>IF(AN759="Complete","Complete",IF(W759&lt;0,"Overdue",IF(W759&lt;=U759*0.2,"At Risk","On Track")))</f>
        <v/>
      </c>
    </row>
    <row r="760">
      <c r="K760">
        <f>IF(J760="v4.0",L760,IF(J760="v3.1",M760,IF(J760="Both",L760,IF(AND(L760&lt;&gt;"",M760=""),L760,M760))))</f>
        <v/>
      </c>
      <c r="W760">
        <f>IF(V760&lt;&gt;"",NETWORKDAYS(TODAY(),V760),"")</f>
        <v/>
      </c>
      <c r="X760">
        <f>IF(AN760="Complete","Complete",IF(W760&lt;0,"Overdue",IF(W760&lt;=U760*0.2,"At Risk","On Track")))</f>
        <v/>
      </c>
    </row>
    <row r="761">
      <c r="K761">
        <f>IF(J761="v4.0",L761,IF(J761="v3.1",M761,IF(J761="Both",L761,IF(AND(L761&lt;&gt;"",M761=""),L761,M761))))</f>
        <v/>
      </c>
      <c r="W761">
        <f>IF(V761&lt;&gt;"",NETWORKDAYS(TODAY(),V761),"")</f>
        <v/>
      </c>
      <c r="X761">
        <f>IF(AN761="Complete","Complete",IF(W761&lt;0,"Overdue",IF(W761&lt;=U761*0.2,"At Risk","On Track")))</f>
        <v/>
      </c>
    </row>
    <row r="762">
      <c r="K762">
        <f>IF(J762="v4.0",L762,IF(J762="v3.1",M762,IF(J762="Both",L762,IF(AND(L762&lt;&gt;"",M762=""),L762,M762))))</f>
        <v/>
      </c>
      <c r="W762">
        <f>IF(V762&lt;&gt;"",NETWORKDAYS(TODAY(),V762),"")</f>
        <v/>
      </c>
      <c r="X762">
        <f>IF(AN762="Complete","Complete",IF(W762&lt;0,"Overdue",IF(W762&lt;=U762*0.2,"At Risk","On Track")))</f>
        <v/>
      </c>
    </row>
    <row r="763">
      <c r="K763">
        <f>IF(J763="v4.0",L763,IF(J763="v3.1",M763,IF(J763="Both",L763,IF(AND(L763&lt;&gt;"",M763=""),L763,M763))))</f>
        <v/>
      </c>
      <c r="W763">
        <f>IF(V763&lt;&gt;"",NETWORKDAYS(TODAY(),V763),"")</f>
        <v/>
      </c>
      <c r="X763">
        <f>IF(AN763="Complete","Complete",IF(W763&lt;0,"Overdue",IF(W763&lt;=U763*0.2,"At Risk","On Track")))</f>
        <v/>
      </c>
    </row>
    <row r="764">
      <c r="K764">
        <f>IF(J764="v4.0",L764,IF(J764="v3.1",M764,IF(J764="Both",L764,IF(AND(L764&lt;&gt;"",M764=""),L764,M764))))</f>
        <v/>
      </c>
      <c r="W764">
        <f>IF(V764&lt;&gt;"",NETWORKDAYS(TODAY(),V764),"")</f>
        <v/>
      </c>
      <c r="X764">
        <f>IF(AN764="Complete","Complete",IF(W764&lt;0,"Overdue",IF(W764&lt;=U764*0.2,"At Risk","On Track")))</f>
        <v/>
      </c>
    </row>
    <row r="765">
      <c r="K765">
        <f>IF(J765="v4.0",L765,IF(J765="v3.1",M765,IF(J765="Both",L765,IF(AND(L765&lt;&gt;"",M765=""),L765,M765))))</f>
        <v/>
      </c>
      <c r="W765">
        <f>IF(V765&lt;&gt;"",NETWORKDAYS(TODAY(),V765),"")</f>
        <v/>
      </c>
      <c r="X765">
        <f>IF(AN765="Complete","Complete",IF(W765&lt;0,"Overdue",IF(W765&lt;=U765*0.2,"At Risk","On Track")))</f>
        <v/>
      </c>
    </row>
    <row r="766">
      <c r="K766">
        <f>IF(J766="v4.0",L766,IF(J766="v3.1",M766,IF(J766="Both",L766,IF(AND(L766&lt;&gt;"",M766=""),L766,M766))))</f>
        <v/>
      </c>
      <c r="W766">
        <f>IF(V766&lt;&gt;"",NETWORKDAYS(TODAY(),V766),"")</f>
        <v/>
      </c>
      <c r="X766">
        <f>IF(AN766="Complete","Complete",IF(W766&lt;0,"Overdue",IF(W766&lt;=U766*0.2,"At Risk","On Track")))</f>
        <v/>
      </c>
    </row>
    <row r="767">
      <c r="K767">
        <f>IF(J767="v4.0",L767,IF(J767="v3.1",M767,IF(J767="Both",L767,IF(AND(L767&lt;&gt;"",M767=""),L767,M767))))</f>
        <v/>
      </c>
      <c r="W767">
        <f>IF(V767&lt;&gt;"",NETWORKDAYS(TODAY(),V767),"")</f>
        <v/>
      </c>
      <c r="X767">
        <f>IF(AN767="Complete","Complete",IF(W767&lt;0,"Overdue",IF(W767&lt;=U767*0.2,"At Risk","On Track")))</f>
        <v/>
      </c>
    </row>
    <row r="768">
      <c r="K768">
        <f>IF(J768="v4.0",L768,IF(J768="v3.1",M768,IF(J768="Both",L768,IF(AND(L768&lt;&gt;"",M768=""),L768,M768))))</f>
        <v/>
      </c>
      <c r="W768">
        <f>IF(V768&lt;&gt;"",NETWORKDAYS(TODAY(),V768),"")</f>
        <v/>
      </c>
      <c r="X768">
        <f>IF(AN768="Complete","Complete",IF(W768&lt;0,"Overdue",IF(W768&lt;=U768*0.2,"At Risk","On Track")))</f>
        <v/>
      </c>
    </row>
    <row r="769">
      <c r="K769">
        <f>IF(J769="v4.0",L769,IF(J769="v3.1",M769,IF(J769="Both",L769,IF(AND(L769&lt;&gt;"",M769=""),L769,M769))))</f>
        <v/>
      </c>
      <c r="W769">
        <f>IF(V769&lt;&gt;"",NETWORKDAYS(TODAY(),V769),"")</f>
        <v/>
      </c>
      <c r="X769">
        <f>IF(AN769="Complete","Complete",IF(W769&lt;0,"Overdue",IF(W769&lt;=U769*0.2,"At Risk","On Track")))</f>
        <v/>
      </c>
    </row>
    <row r="770">
      <c r="K770">
        <f>IF(J770="v4.0",L770,IF(J770="v3.1",M770,IF(J770="Both",L770,IF(AND(L770&lt;&gt;"",M770=""),L770,M770))))</f>
        <v/>
      </c>
      <c r="W770">
        <f>IF(V770&lt;&gt;"",NETWORKDAYS(TODAY(),V770),"")</f>
        <v/>
      </c>
      <c r="X770">
        <f>IF(AN770="Complete","Complete",IF(W770&lt;0,"Overdue",IF(W770&lt;=U770*0.2,"At Risk","On Track")))</f>
        <v/>
      </c>
    </row>
    <row r="771">
      <c r="K771">
        <f>IF(J771="v4.0",L771,IF(J771="v3.1",M771,IF(J771="Both",L771,IF(AND(L771&lt;&gt;"",M771=""),L771,M771))))</f>
        <v/>
      </c>
      <c r="W771">
        <f>IF(V771&lt;&gt;"",NETWORKDAYS(TODAY(),V771),"")</f>
        <v/>
      </c>
      <c r="X771">
        <f>IF(AN771="Complete","Complete",IF(W771&lt;0,"Overdue",IF(W771&lt;=U771*0.2,"At Risk","On Track")))</f>
        <v/>
      </c>
    </row>
    <row r="772">
      <c r="K772">
        <f>IF(J772="v4.0",L772,IF(J772="v3.1",M772,IF(J772="Both",L772,IF(AND(L772&lt;&gt;"",M772=""),L772,M772))))</f>
        <v/>
      </c>
      <c r="W772">
        <f>IF(V772&lt;&gt;"",NETWORKDAYS(TODAY(),V772),"")</f>
        <v/>
      </c>
      <c r="X772">
        <f>IF(AN772="Complete","Complete",IF(W772&lt;0,"Overdue",IF(W772&lt;=U772*0.2,"At Risk","On Track")))</f>
        <v/>
      </c>
    </row>
    <row r="773">
      <c r="K773">
        <f>IF(J773="v4.0",L773,IF(J773="v3.1",M773,IF(J773="Both",L773,IF(AND(L773&lt;&gt;"",M773=""),L773,M773))))</f>
        <v/>
      </c>
      <c r="W773">
        <f>IF(V773&lt;&gt;"",NETWORKDAYS(TODAY(),V773),"")</f>
        <v/>
      </c>
      <c r="X773">
        <f>IF(AN773="Complete","Complete",IF(W773&lt;0,"Overdue",IF(W773&lt;=U773*0.2,"At Risk","On Track")))</f>
        <v/>
      </c>
    </row>
    <row r="774">
      <c r="K774">
        <f>IF(J774="v4.0",L774,IF(J774="v3.1",M774,IF(J774="Both",L774,IF(AND(L774&lt;&gt;"",M774=""),L774,M774))))</f>
        <v/>
      </c>
      <c r="W774">
        <f>IF(V774&lt;&gt;"",NETWORKDAYS(TODAY(),V774),"")</f>
        <v/>
      </c>
      <c r="X774">
        <f>IF(AN774="Complete","Complete",IF(W774&lt;0,"Overdue",IF(W774&lt;=U774*0.2,"At Risk","On Track")))</f>
        <v/>
      </c>
    </row>
    <row r="775">
      <c r="K775">
        <f>IF(J775="v4.0",L775,IF(J775="v3.1",M775,IF(J775="Both",L775,IF(AND(L775&lt;&gt;"",M775=""),L775,M775))))</f>
        <v/>
      </c>
      <c r="W775">
        <f>IF(V775&lt;&gt;"",NETWORKDAYS(TODAY(),V775),"")</f>
        <v/>
      </c>
      <c r="X775">
        <f>IF(AN775="Complete","Complete",IF(W775&lt;0,"Overdue",IF(W775&lt;=U775*0.2,"At Risk","On Track")))</f>
        <v/>
      </c>
    </row>
    <row r="776">
      <c r="K776">
        <f>IF(J776="v4.0",L776,IF(J776="v3.1",M776,IF(J776="Both",L776,IF(AND(L776&lt;&gt;"",M776=""),L776,M776))))</f>
        <v/>
      </c>
      <c r="W776">
        <f>IF(V776&lt;&gt;"",NETWORKDAYS(TODAY(),V776),"")</f>
        <v/>
      </c>
      <c r="X776">
        <f>IF(AN776="Complete","Complete",IF(W776&lt;0,"Overdue",IF(W776&lt;=U776*0.2,"At Risk","On Track")))</f>
        <v/>
      </c>
    </row>
    <row r="777">
      <c r="K777">
        <f>IF(J777="v4.0",L777,IF(J777="v3.1",M777,IF(J777="Both",L777,IF(AND(L777&lt;&gt;"",M777=""),L777,M777))))</f>
        <v/>
      </c>
      <c r="W777">
        <f>IF(V777&lt;&gt;"",NETWORKDAYS(TODAY(),V777),"")</f>
        <v/>
      </c>
      <c r="X777">
        <f>IF(AN777="Complete","Complete",IF(W777&lt;0,"Overdue",IF(W777&lt;=U777*0.2,"At Risk","On Track")))</f>
        <v/>
      </c>
    </row>
    <row r="778">
      <c r="K778">
        <f>IF(J778="v4.0",L778,IF(J778="v3.1",M778,IF(J778="Both",L778,IF(AND(L778&lt;&gt;"",M778=""),L778,M778))))</f>
        <v/>
      </c>
      <c r="W778">
        <f>IF(V778&lt;&gt;"",NETWORKDAYS(TODAY(),V778),"")</f>
        <v/>
      </c>
      <c r="X778">
        <f>IF(AN778="Complete","Complete",IF(W778&lt;0,"Overdue",IF(W778&lt;=U778*0.2,"At Risk","On Track")))</f>
        <v/>
      </c>
    </row>
    <row r="779">
      <c r="K779">
        <f>IF(J779="v4.0",L779,IF(J779="v3.1",M779,IF(J779="Both",L779,IF(AND(L779&lt;&gt;"",M779=""),L779,M779))))</f>
        <v/>
      </c>
      <c r="W779">
        <f>IF(V779&lt;&gt;"",NETWORKDAYS(TODAY(),V779),"")</f>
        <v/>
      </c>
      <c r="X779">
        <f>IF(AN779="Complete","Complete",IF(W779&lt;0,"Overdue",IF(W779&lt;=U779*0.2,"At Risk","On Track")))</f>
        <v/>
      </c>
    </row>
    <row r="780">
      <c r="K780">
        <f>IF(J780="v4.0",L780,IF(J780="v3.1",M780,IF(J780="Both",L780,IF(AND(L780&lt;&gt;"",M780=""),L780,M780))))</f>
        <v/>
      </c>
      <c r="W780">
        <f>IF(V780&lt;&gt;"",NETWORKDAYS(TODAY(),V780),"")</f>
        <v/>
      </c>
      <c r="X780">
        <f>IF(AN780="Complete","Complete",IF(W780&lt;0,"Overdue",IF(W780&lt;=U780*0.2,"At Risk","On Track")))</f>
        <v/>
      </c>
    </row>
    <row r="781">
      <c r="K781">
        <f>IF(J781="v4.0",L781,IF(J781="v3.1",M781,IF(J781="Both",L781,IF(AND(L781&lt;&gt;"",M781=""),L781,M781))))</f>
        <v/>
      </c>
      <c r="W781">
        <f>IF(V781&lt;&gt;"",NETWORKDAYS(TODAY(),V781),"")</f>
        <v/>
      </c>
      <c r="X781">
        <f>IF(AN781="Complete","Complete",IF(W781&lt;0,"Overdue",IF(W781&lt;=U781*0.2,"At Risk","On Track")))</f>
        <v/>
      </c>
    </row>
    <row r="782">
      <c r="K782">
        <f>IF(J782="v4.0",L782,IF(J782="v3.1",M782,IF(J782="Both",L782,IF(AND(L782&lt;&gt;"",M782=""),L782,M782))))</f>
        <v/>
      </c>
      <c r="W782">
        <f>IF(V782&lt;&gt;"",NETWORKDAYS(TODAY(),V782),"")</f>
        <v/>
      </c>
      <c r="X782">
        <f>IF(AN782="Complete","Complete",IF(W782&lt;0,"Overdue",IF(W782&lt;=U782*0.2,"At Risk","On Track")))</f>
        <v/>
      </c>
    </row>
    <row r="783">
      <c r="K783">
        <f>IF(J783="v4.0",L783,IF(J783="v3.1",M783,IF(J783="Both",L783,IF(AND(L783&lt;&gt;"",M783=""),L783,M783))))</f>
        <v/>
      </c>
      <c r="W783">
        <f>IF(V783&lt;&gt;"",NETWORKDAYS(TODAY(),V783),"")</f>
        <v/>
      </c>
      <c r="X783">
        <f>IF(AN783="Complete","Complete",IF(W783&lt;0,"Overdue",IF(W783&lt;=U783*0.2,"At Risk","On Track")))</f>
        <v/>
      </c>
    </row>
    <row r="784">
      <c r="K784">
        <f>IF(J784="v4.0",L784,IF(J784="v3.1",M784,IF(J784="Both",L784,IF(AND(L784&lt;&gt;"",M784=""),L784,M784))))</f>
        <v/>
      </c>
      <c r="W784">
        <f>IF(V784&lt;&gt;"",NETWORKDAYS(TODAY(),V784),"")</f>
        <v/>
      </c>
      <c r="X784">
        <f>IF(AN784="Complete","Complete",IF(W784&lt;0,"Overdue",IF(W784&lt;=U784*0.2,"At Risk","On Track")))</f>
        <v/>
      </c>
    </row>
    <row r="785">
      <c r="K785">
        <f>IF(J785="v4.0",L785,IF(J785="v3.1",M785,IF(J785="Both",L785,IF(AND(L785&lt;&gt;"",M785=""),L785,M785))))</f>
        <v/>
      </c>
      <c r="W785">
        <f>IF(V785&lt;&gt;"",NETWORKDAYS(TODAY(),V785),"")</f>
        <v/>
      </c>
      <c r="X785">
        <f>IF(AN785="Complete","Complete",IF(W785&lt;0,"Overdue",IF(W785&lt;=U785*0.2,"At Risk","On Track")))</f>
        <v/>
      </c>
    </row>
    <row r="786">
      <c r="K786">
        <f>IF(J786="v4.0",L786,IF(J786="v3.1",M786,IF(J786="Both",L786,IF(AND(L786&lt;&gt;"",M786=""),L786,M786))))</f>
        <v/>
      </c>
      <c r="W786">
        <f>IF(V786&lt;&gt;"",NETWORKDAYS(TODAY(),V786),"")</f>
        <v/>
      </c>
      <c r="X786">
        <f>IF(AN786="Complete","Complete",IF(W786&lt;0,"Overdue",IF(W786&lt;=U786*0.2,"At Risk","On Track")))</f>
        <v/>
      </c>
    </row>
    <row r="787">
      <c r="K787">
        <f>IF(J787="v4.0",L787,IF(J787="v3.1",M787,IF(J787="Both",L787,IF(AND(L787&lt;&gt;"",M787=""),L787,M787))))</f>
        <v/>
      </c>
      <c r="W787">
        <f>IF(V787&lt;&gt;"",NETWORKDAYS(TODAY(),V787),"")</f>
        <v/>
      </c>
      <c r="X787">
        <f>IF(AN787="Complete","Complete",IF(W787&lt;0,"Overdue",IF(W787&lt;=U787*0.2,"At Risk","On Track")))</f>
        <v/>
      </c>
    </row>
    <row r="788">
      <c r="K788">
        <f>IF(J788="v4.0",L788,IF(J788="v3.1",M788,IF(J788="Both",L788,IF(AND(L788&lt;&gt;"",M788=""),L788,M788))))</f>
        <v/>
      </c>
      <c r="W788">
        <f>IF(V788&lt;&gt;"",NETWORKDAYS(TODAY(),V788),"")</f>
        <v/>
      </c>
      <c r="X788">
        <f>IF(AN788="Complete","Complete",IF(W788&lt;0,"Overdue",IF(W788&lt;=U788*0.2,"At Risk","On Track")))</f>
        <v/>
      </c>
    </row>
    <row r="789">
      <c r="K789">
        <f>IF(J789="v4.0",L789,IF(J789="v3.1",M789,IF(J789="Both",L789,IF(AND(L789&lt;&gt;"",M789=""),L789,M789))))</f>
        <v/>
      </c>
      <c r="W789">
        <f>IF(V789&lt;&gt;"",NETWORKDAYS(TODAY(),V789),"")</f>
        <v/>
      </c>
      <c r="X789">
        <f>IF(AN789="Complete","Complete",IF(W789&lt;0,"Overdue",IF(W789&lt;=U789*0.2,"At Risk","On Track")))</f>
        <v/>
      </c>
    </row>
    <row r="790">
      <c r="K790">
        <f>IF(J790="v4.0",L790,IF(J790="v3.1",M790,IF(J790="Both",L790,IF(AND(L790&lt;&gt;"",M790=""),L790,M790))))</f>
        <v/>
      </c>
      <c r="W790">
        <f>IF(V790&lt;&gt;"",NETWORKDAYS(TODAY(),V790),"")</f>
        <v/>
      </c>
      <c r="X790">
        <f>IF(AN790="Complete","Complete",IF(W790&lt;0,"Overdue",IF(W790&lt;=U790*0.2,"At Risk","On Track")))</f>
        <v/>
      </c>
    </row>
    <row r="791">
      <c r="K791">
        <f>IF(J791="v4.0",L791,IF(J791="v3.1",M791,IF(J791="Both",L791,IF(AND(L791&lt;&gt;"",M791=""),L791,M791))))</f>
        <v/>
      </c>
      <c r="W791">
        <f>IF(V791&lt;&gt;"",NETWORKDAYS(TODAY(),V791),"")</f>
        <v/>
      </c>
      <c r="X791">
        <f>IF(AN791="Complete","Complete",IF(W791&lt;0,"Overdue",IF(W791&lt;=U791*0.2,"At Risk","On Track")))</f>
        <v/>
      </c>
    </row>
    <row r="792">
      <c r="K792">
        <f>IF(J792="v4.0",L792,IF(J792="v3.1",M792,IF(J792="Both",L792,IF(AND(L792&lt;&gt;"",M792=""),L792,M792))))</f>
        <v/>
      </c>
      <c r="W792">
        <f>IF(V792&lt;&gt;"",NETWORKDAYS(TODAY(),V792),"")</f>
        <v/>
      </c>
      <c r="X792">
        <f>IF(AN792="Complete","Complete",IF(W792&lt;0,"Overdue",IF(W792&lt;=U792*0.2,"At Risk","On Track")))</f>
        <v/>
      </c>
    </row>
    <row r="793">
      <c r="K793">
        <f>IF(J793="v4.0",L793,IF(J793="v3.1",M793,IF(J793="Both",L793,IF(AND(L793&lt;&gt;"",M793=""),L793,M793))))</f>
        <v/>
      </c>
      <c r="W793">
        <f>IF(V793&lt;&gt;"",NETWORKDAYS(TODAY(),V793),"")</f>
        <v/>
      </c>
      <c r="X793">
        <f>IF(AN793="Complete","Complete",IF(W793&lt;0,"Overdue",IF(W793&lt;=U793*0.2,"At Risk","On Track")))</f>
        <v/>
      </c>
    </row>
    <row r="794">
      <c r="K794">
        <f>IF(J794="v4.0",L794,IF(J794="v3.1",M794,IF(J794="Both",L794,IF(AND(L794&lt;&gt;"",M794=""),L794,M794))))</f>
        <v/>
      </c>
      <c r="W794">
        <f>IF(V794&lt;&gt;"",NETWORKDAYS(TODAY(),V794),"")</f>
        <v/>
      </c>
      <c r="X794">
        <f>IF(AN794="Complete","Complete",IF(W794&lt;0,"Overdue",IF(W794&lt;=U794*0.2,"At Risk","On Track")))</f>
        <v/>
      </c>
    </row>
    <row r="795">
      <c r="K795">
        <f>IF(J795="v4.0",L795,IF(J795="v3.1",M795,IF(J795="Both",L795,IF(AND(L795&lt;&gt;"",M795=""),L795,M795))))</f>
        <v/>
      </c>
      <c r="W795">
        <f>IF(V795&lt;&gt;"",NETWORKDAYS(TODAY(),V795),"")</f>
        <v/>
      </c>
      <c r="X795">
        <f>IF(AN795="Complete","Complete",IF(W795&lt;0,"Overdue",IF(W795&lt;=U795*0.2,"At Risk","On Track")))</f>
        <v/>
      </c>
    </row>
    <row r="796">
      <c r="K796">
        <f>IF(J796="v4.0",L796,IF(J796="v3.1",M796,IF(J796="Both",L796,IF(AND(L796&lt;&gt;"",M796=""),L796,M796))))</f>
        <v/>
      </c>
      <c r="W796">
        <f>IF(V796&lt;&gt;"",NETWORKDAYS(TODAY(),V796),"")</f>
        <v/>
      </c>
      <c r="X796">
        <f>IF(AN796="Complete","Complete",IF(W796&lt;0,"Overdue",IF(W796&lt;=U796*0.2,"At Risk","On Track")))</f>
        <v/>
      </c>
    </row>
    <row r="797">
      <c r="K797">
        <f>IF(J797="v4.0",L797,IF(J797="v3.1",M797,IF(J797="Both",L797,IF(AND(L797&lt;&gt;"",M797=""),L797,M797))))</f>
        <v/>
      </c>
      <c r="W797">
        <f>IF(V797&lt;&gt;"",NETWORKDAYS(TODAY(),V797),"")</f>
        <v/>
      </c>
      <c r="X797">
        <f>IF(AN797="Complete","Complete",IF(W797&lt;0,"Overdue",IF(W797&lt;=U797*0.2,"At Risk","On Track")))</f>
        <v/>
      </c>
    </row>
    <row r="798">
      <c r="K798">
        <f>IF(J798="v4.0",L798,IF(J798="v3.1",M798,IF(J798="Both",L798,IF(AND(L798&lt;&gt;"",M798=""),L798,M798))))</f>
        <v/>
      </c>
      <c r="W798">
        <f>IF(V798&lt;&gt;"",NETWORKDAYS(TODAY(),V798),"")</f>
        <v/>
      </c>
      <c r="X798">
        <f>IF(AN798="Complete","Complete",IF(W798&lt;0,"Overdue",IF(W798&lt;=U798*0.2,"At Risk","On Track")))</f>
        <v/>
      </c>
    </row>
    <row r="799">
      <c r="K799">
        <f>IF(J799="v4.0",L799,IF(J799="v3.1",M799,IF(J799="Both",L799,IF(AND(L799&lt;&gt;"",M799=""),L799,M799))))</f>
        <v/>
      </c>
      <c r="W799">
        <f>IF(V799&lt;&gt;"",NETWORKDAYS(TODAY(),V799),"")</f>
        <v/>
      </c>
      <c r="X799">
        <f>IF(AN799="Complete","Complete",IF(W799&lt;0,"Overdue",IF(W799&lt;=U799*0.2,"At Risk","On Track")))</f>
        <v/>
      </c>
    </row>
    <row r="800">
      <c r="K800">
        <f>IF(J800="v4.0",L800,IF(J800="v3.1",M800,IF(J800="Both",L800,IF(AND(L800&lt;&gt;"",M800=""),L800,M800))))</f>
        <v/>
      </c>
      <c r="W800">
        <f>IF(V800&lt;&gt;"",NETWORKDAYS(TODAY(),V800),"")</f>
        <v/>
      </c>
      <c r="X800">
        <f>IF(AN800="Complete","Complete",IF(W800&lt;0,"Overdue",IF(W800&lt;=U800*0.2,"At Risk","On Track")))</f>
        <v/>
      </c>
    </row>
    <row r="801">
      <c r="K801">
        <f>IF(J801="v4.0",L801,IF(J801="v3.1",M801,IF(J801="Both",L801,IF(AND(L801&lt;&gt;"",M801=""),L801,M801))))</f>
        <v/>
      </c>
      <c r="W801">
        <f>IF(V801&lt;&gt;"",NETWORKDAYS(TODAY(),V801),"")</f>
        <v/>
      </c>
      <c r="X801">
        <f>IF(AN801="Complete","Complete",IF(W801&lt;0,"Overdue",IF(W801&lt;=U801*0.2,"At Risk","On Track")))</f>
        <v/>
      </c>
    </row>
    <row r="802">
      <c r="K802">
        <f>IF(J802="v4.0",L802,IF(J802="v3.1",M802,IF(J802="Both",L802,IF(AND(L802&lt;&gt;"",M802=""),L802,M802))))</f>
        <v/>
      </c>
      <c r="W802">
        <f>IF(V802&lt;&gt;"",NETWORKDAYS(TODAY(),V802),"")</f>
        <v/>
      </c>
      <c r="X802">
        <f>IF(AN802="Complete","Complete",IF(W802&lt;0,"Overdue",IF(W802&lt;=U802*0.2,"At Risk","On Track")))</f>
        <v/>
      </c>
    </row>
    <row r="803">
      <c r="K803">
        <f>IF(J803="v4.0",L803,IF(J803="v3.1",M803,IF(J803="Both",L803,IF(AND(L803&lt;&gt;"",M803=""),L803,M803))))</f>
        <v/>
      </c>
      <c r="W803">
        <f>IF(V803&lt;&gt;"",NETWORKDAYS(TODAY(),V803),"")</f>
        <v/>
      </c>
      <c r="X803">
        <f>IF(AN803="Complete","Complete",IF(W803&lt;0,"Overdue",IF(W803&lt;=U803*0.2,"At Risk","On Track")))</f>
        <v/>
      </c>
    </row>
    <row r="804">
      <c r="K804">
        <f>IF(J804="v4.0",L804,IF(J804="v3.1",M804,IF(J804="Both",L804,IF(AND(L804&lt;&gt;"",M804=""),L804,M804))))</f>
        <v/>
      </c>
      <c r="W804">
        <f>IF(V804&lt;&gt;"",NETWORKDAYS(TODAY(),V804),"")</f>
        <v/>
      </c>
      <c r="X804">
        <f>IF(AN804="Complete","Complete",IF(W804&lt;0,"Overdue",IF(W804&lt;=U804*0.2,"At Risk","On Track")))</f>
        <v/>
      </c>
    </row>
    <row r="805">
      <c r="K805">
        <f>IF(J805="v4.0",L805,IF(J805="v3.1",M805,IF(J805="Both",L805,IF(AND(L805&lt;&gt;"",M805=""),L805,M805))))</f>
        <v/>
      </c>
      <c r="W805">
        <f>IF(V805&lt;&gt;"",NETWORKDAYS(TODAY(),V805),"")</f>
        <v/>
      </c>
      <c r="X805">
        <f>IF(AN805="Complete","Complete",IF(W805&lt;0,"Overdue",IF(W805&lt;=U805*0.2,"At Risk","On Track")))</f>
        <v/>
      </c>
    </row>
    <row r="806">
      <c r="K806">
        <f>IF(J806="v4.0",L806,IF(J806="v3.1",M806,IF(J806="Both",L806,IF(AND(L806&lt;&gt;"",M806=""),L806,M806))))</f>
        <v/>
      </c>
      <c r="W806">
        <f>IF(V806&lt;&gt;"",NETWORKDAYS(TODAY(),V806),"")</f>
        <v/>
      </c>
      <c r="X806">
        <f>IF(AN806="Complete","Complete",IF(W806&lt;0,"Overdue",IF(W806&lt;=U806*0.2,"At Risk","On Track")))</f>
        <v/>
      </c>
    </row>
    <row r="807">
      <c r="K807">
        <f>IF(J807="v4.0",L807,IF(J807="v3.1",M807,IF(J807="Both",L807,IF(AND(L807&lt;&gt;"",M807=""),L807,M807))))</f>
        <v/>
      </c>
      <c r="W807">
        <f>IF(V807&lt;&gt;"",NETWORKDAYS(TODAY(),V807),"")</f>
        <v/>
      </c>
      <c r="X807">
        <f>IF(AN807="Complete","Complete",IF(W807&lt;0,"Overdue",IF(W807&lt;=U807*0.2,"At Risk","On Track")))</f>
        <v/>
      </c>
    </row>
    <row r="808">
      <c r="K808">
        <f>IF(J808="v4.0",L808,IF(J808="v3.1",M808,IF(J808="Both",L808,IF(AND(L808&lt;&gt;"",M808=""),L808,M808))))</f>
        <v/>
      </c>
      <c r="W808">
        <f>IF(V808&lt;&gt;"",NETWORKDAYS(TODAY(),V808),"")</f>
        <v/>
      </c>
      <c r="X808">
        <f>IF(AN808="Complete","Complete",IF(W808&lt;0,"Overdue",IF(W808&lt;=U808*0.2,"At Risk","On Track")))</f>
        <v/>
      </c>
    </row>
    <row r="809">
      <c r="K809">
        <f>IF(J809="v4.0",L809,IF(J809="v3.1",M809,IF(J809="Both",L809,IF(AND(L809&lt;&gt;"",M809=""),L809,M809))))</f>
        <v/>
      </c>
      <c r="W809">
        <f>IF(V809&lt;&gt;"",NETWORKDAYS(TODAY(),V809),"")</f>
        <v/>
      </c>
      <c r="X809">
        <f>IF(AN809="Complete","Complete",IF(W809&lt;0,"Overdue",IF(W809&lt;=U809*0.2,"At Risk","On Track")))</f>
        <v/>
      </c>
    </row>
    <row r="810">
      <c r="K810">
        <f>IF(J810="v4.0",L810,IF(J810="v3.1",M810,IF(J810="Both",L810,IF(AND(L810&lt;&gt;"",M810=""),L810,M810))))</f>
        <v/>
      </c>
      <c r="W810">
        <f>IF(V810&lt;&gt;"",NETWORKDAYS(TODAY(),V810),"")</f>
        <v/>
      </c>
      <c r="X810">
        <f>IF(AN810="Complete","Complete",IF(W810&lt;0,"Overdue",IF(W810&lt;=U810*0.2,"At Risk","On Track")))</f>
        <v/>
      </c>
    </row>
    <row r="811">
      <c r="K811">
        <f>IF(J811="v4.0",L811,IF(J811="v3.1",M811,IF(J811="Both",L811,IF(AND(L811&lt;&gt;"",M811=""),L811,M811))))</f>
        <v/>
      </c>
      <c r="W811">
        <f>IF(V811&lt;&gt;"",NETWORKDAYS(TODAY(),V811),"")</f>
        <v/>
      </c>
      <c r="X811">
        <f>IF(AN811="Complete","Complete",IF(W811&lt;0,"Overdue",IF(W811&lt;=U811*0.2,"At Risk","On Track")))</f>
        <v/>
      </c>
    </row>
    <row r="812">
      <c r="K812">
        <f>IF(J812="v4.0",L812,IF(J812="v3.1",M812,IF(J812="Both",L812,IF(AND(L812&lt;&gt;"",M812=""),L812,M812))))</f>
        <v/>
      </c>
      <c r="W812">
        <f>IF(V812&lt;&gt;"",NETWORKDAYS(TODAY(),V812),"")</f>
        <v/>
      </c>
      <c r="X812">
        <f>IF(AN812="Complete","Complete",IF(W812&lt;0,"Overdue",IF(W812&lt;=U812*0.2,"At Risk","On Track")))</f>
        <v/>
      </c>
    </row>
    <row r="813">
      <c r="K813">
        <f>IF(J813="v4.0",L813,IF(J813="v3.1",M813,IF(J813="Both",L813,IF(AND(L813&lt;&gt;"",M813=""),L813,M813))))</f>
        <v/>
      </c>
      <c r="W813">
        <f>IF(V813&lt;&gt;"",NETWORKDAYS(TODAY(),V813),"")</f>
        <v/>
      </c>
      <c r="X813">
        <f>IF(AN813="Complete","Complete",IF(W813&lt;0,"Overdue",IF(W813&lt;=U813*0.2,"At Risk","On Track")))</f>
        <v/>
      </c>
    </row>
    <row r="814">
      <c r="K814">
        <f>IF(J814="v4.0",L814,IF(J814="v3.1",M814,IF(J814="Both",L814,IF(AND(L814&lt;&gt;"",M814=""),L814,M814))))</f>
        <v/>
      </c>
      <c r="W814">
        <f>IF(V814&lt;&gt;"",NETWORKDAYS(TODAY(),V814),"")</f>
        <v/>
      </c>
      <c r="X814">
        <f>IF(AN814="Complete","Complete",IF(W814&lt;0,"Overdue",IF(W814&lt;=U814*0.2,"At Risk","On Track")))</f>
        <v/>
      </c>
    </row>
    <row r="815">
      <c r="K815">
        <f>IF(J815="v4.0",L815,IF(J815="v3.1",M815,IF(J815="Both",L815,IF(AND(L815&lt;&gt;"",M815=""),L815,M815))))</f>
        <v/>
      </c>
      <c r="W815">
        <f>IF(V815&lt;&gt;"",NETWORKDAYS(TODAY(),V815),"")</f>
        <v/>
      </c>
      <c r="X815">
        <f>IF(AN815="Complete","Complete",IF(W815&lt;0,"Overdue",IF(W815&lt;=U815*0.2,"At Risk","On Track")))</f>
        <v/>
      </c>
    </row>
    <row r="816">
      <c r="K816">
        <f>IF(J816="v4.0",L816,IF(J816="v3.1",M816,IF(J816="Both",L816,IF(AND(L816&lt;&gt;"",M816=""),L816,M816))))</f>
        <v/>
      </c>
      <c r="W816">
        <f>IF(V816&lt;&gt;"",NETWORKDAYS(TODAY(),V816),"")</f>
        <v/>
      </c>
      <c r="X816">
        <f>IF(AN816="Complete","Complete",IF(W816&lt;0,"Overdue",IF(W816&lt;=U816*0.2,"At Risk","On Track")))</f>
        <v/>
      </c>
    </row>
    <row r="817">
      <c r="K817">
        <f>IF(J817="v4.0",L817,IF(J817="v3.1",M817,IF(J817="Both",L817,IF(AND(L817&lt;&gt;"",M817=""),L817,M817))))</f>
        <v/>
      </c>
      <c r="W817">
        <f>IF(V817&lt;&gt;"",NETWORKDAYS(TODAY(),V817),"")</f>
        <v/>
      </c>
      <c r="X817">
        <f>IF(AN817="Complete","Complete",IF(W817&lt;0,"Overdue",IF(W817&lt;=U817*0.2,"At Risk","On Track")))</f>
        <v/>
      </c>
    </row>
    <row r="818">
      <c r="K818">
        <f>IF(J818="v4.0",L818,IF(J818="v3.1",M818,IF(J818="Both",L818,IF(AND(L818&lt;&gt;"",M818=""),L818,M818))))</f>
        <v/>
      </c>
      <c r="W818">
        <f>IF(V818&lt;&gt;"",NETWORKDAYS(TODAY(),V818),"")</f>
        <v/>
      </c>
      <c r="X818">
        <f>IF(AN818="Complete","Complete",IF(W818&lt;0,"Overdue",IF(W818&lt;=U818*0.2,"At Risk","On Track")))</f>
        <v/>
      </c>
    </row>
    <row r="819">
      <c r="K819">
        <f>IF(J819="v4.0",L819,IF(J819="v3.1",M819,IF(J819="Both",L819,IF(AND(L819&lt;&gt;"",M819=""),L819,M819))))</f>
        <v/>
      </c>
      <c r="W819">
        <f>IF(V819&lt;&gt;"",NETWORKDAYS(TODAY(),V819),"")</f>
        <v/>
      </c>
      <c r="X819">
        <f>IF(AN819="Complete","Complete",IF(W819&lt;0,"Overdue",IF(W819&lt;=U819*0.2,"At Risk","On Track")))</f>
        <v/>
      </c>
    </row>
    <row r="820">
      <c r="K820">
        <f>IF(J820="v4.0",L820,IF(J820="v3.1",M820,IF(J820="Both",L820,IF(AND(L820&lt;&gt;"",M820=""),L820,M820))))</f>
        <v/>
      </c>
      <c r="W820">
        <f>IF(V820&lt;&gt;"",NETWORKDAYS(TODAY(),V820),"")</f>
        <v/>
      </c>
      <c r="X820">
        <f>IF(AN820="Complete","Complete",IF(W820&lt;0,"Overdue",IF(W820&lt;=U820*0.2,"At Risk","On Track")))</f>
        <v/>
      </c>
    </row>
    <row r="821">
      <c r="K821">
        <f>IF(J821="v4.0",L821,IF(J821="v3.1",M821,IF(J821="Both",L821,IF(AND(L821&lt;&gt;"",M821=""),L821,M821))))</f>
        <v/>
      </c>
      <c r="W821">
        <f>IF(V821&lt;&gt;"",NETWORKDAYS(TODAY(),V821),"")</f>
        <v/>
      </c>
      <c r="X821">
        <f>IF(AN821="Complete","Complete",IF(W821&lt;0,"Overdue",IF(W821&lt;=U821*0.2,"At Risk","On Track")))</f>
        <v/>
      </c>
    </row>
    <row r="822">
      <c r="K822">
        <f>IF(J822="v4.0",L822,IF(J822="v3.1",M822,IF(J822="Both",L822,IF(AND(L822&lt;&gt;"",M822=""),L822,M822))))</f>
        <v/>
      </c>
      <c r="W822">
        <f>IF(V822&lt;&gt;"",NETWORKDAYS(TODAY(),V822),"")</f>
        <v/>
      </c>
      <c r="X822">
        <f>IF(AN822="Complete","Complete",IF(W822&lt;0,"Overdue",IF(W822&lt;=U822*0.2,"At Risk","On Track")))</f>
        <v/>
      </c>
    </row>
    <row r="823">
      <c r="K823">
        <f>IF(J823="v4.0",L823,IF(J823="v3.1",M823,IF(J823="Both",L823,IF(AND(L823&lt;&gt;"",M823=""),L823,M823))))</f>
        <v/>
      </c>
      <c r="W823">
        <f>IF(V823&lt;&gt;"",NETWORKDAYS(TODAY(),V823),"")</f>
        <v/>
      </c>
      <c r="X823">
        <f>IF(AN823="Complete","Complete",IF(W823&lt;0,"Overdue",IF(W823&lt;=U823*0.2,"At Risk","On Track")))</f>
        <v/>
      </c>
    </row>
    <row r="824">
      <c r="K824">
        <f>IF(J824="v4.0",L824,IF(J824="v3.1",M824,IF(J824="Both",L824,IF(AND(L824&lt;&gt;"",M824=""),L824,M824))))</f>
        <v/>
      </c>
      <c r="W824">
        <f>IF(V824&lt;&gt;"",NETWORKDAYS(TODAY(),V824),"")</f>
        <v/>
      </c>
      <c r="X824">
        <f>IF(AN824="Complete","Complete",IF(W824&lt;0,"Overdue",IF(W824&lt;=U824*0.2,"At Risk","On Track")))</f>
        <v/>
      </c>
    </row>
    <row r="825">
      <c r="K825">
        <f>IF(J825="v4.0",L825,IF(J825="v3.1",M825,IF(J825="Both",L825,IF(AND(L825&lt;&gt;"",M825=""),L825,M825))))</f>
        <v/>
      </c>
      <c r="W825">
        <f>IF(V825&lt;&gt;"",NETWORKDAYS(TODAY(),V825),"")</f>
        <v/>
      </c>
      <c r="X825">
        <f>IF(AN825="Complete","Complete",IF(W825&lt;0,"Overdue",IF(W825&lt;=U825*0.2,"At Risk","On Track")))</f>
        <v/>
      </c>
    </row>
    <row r="826">
      <c r="K826">
        <f>IF(J826="v4.0",L826,IF(J826="v3.1",M826,IF(J826="Both",L826,IF(AND(L826&lt;&gt;"",M826=""),L826,M826))))</f>
        <v/>
      </c>
      <c r="W826">
        <f>IF(V826&lt;&gt;"",NETWORKDAYS(TODAY(),V826),"")</f>
        <v/>
      </c>
      <c r="X826">
        <f>IF(AN826="Complete","Complete",IF(W826&lt;0,"Overdue",IF(W826&lt;=U826*0.2,"At Risk","On Track")))</f>
        <v/>
      </c>
    </row>
    <row r="827">
      <c r="K827">
        <f>IF(J827="v4.0",L827,IF(J827="v3.1",M827,IF(J827="Both",L827,IF(AND(L827&lt;&gt;"",M827=""),L827,M827))))</f>
        <v/>
      </c>
      <c r="W827">
        <f>IF(V827&lt;&gt;"",NETWORKDAYS(TODAY(),V827),"")</f>
        <v/>
      </c>
      <c r="X827">
        <f>IF(AN827="Complete","Complete",IF(W827&lt;0,"Overdue",IF(W827&lt;=U827*0.2,"At Risk","On Track")))</f>
        <v/>
      </c>
    </row>
    <row r="828">
      <c r="K828">
        <f>IF(J828="v4.0",L828,IF(J828="v3.1",M828,IF(J828="Both",L828,IF(AND(L828&lt;&gt;"",M828=""),L828,M828))))</f>
        <v/>
      </c>
      <c r="W828">
        <f>IF(V828&lt;&gt;"",NETWORKDAYS(TODAY(),V828),"")</f>
        <v/>
      </c>
      <c r="X828">
        <f>IF(AN828="Complete","Complete",IF(W828&lt;0,"Overdue",IF(W828&lt;=U828*0.2,"At Risk","On Track")))</f>
        <v/>
      </c>
    </row>
    <row r="829">
      <c r="K829">
        <f>IF(J829="v4.0",L829,IF(J829="v3.1",M829,IF(J829="Both",L829,IF(AND(L829&lt;&gt;"",M829=""),L829,M829))))</f>
        <v/>
      </c>
      <c r="W829">
        <f>IF(V829&lt;&gt;"",NETWORKDAYS(TODAY(),V829),"")</f>
        <v/>
      </c>
      <c r="X829">
        <f>IF(AN829="Complete","Complete",IF(W829&lt;0,"Overdue",IF(W829&lt;=U829*0.2,"At Risk","On Track")))</f>
        <v/>
      </c>
    </row>
    <row r="830">
      <c r="K830">
        <f>IF(J830="v4.0",L830,IF(J830="v3.1",M830,IF(J830="Both",L830,IF(AND(L830&lt;&gt;"",M830=""),L830,M830))))</f>
        <v/>
      </c>
      <c r="W830">
        <f>IF(V830&lt;&gt;"",NETWORKDAYS(TODAY(),V830),"")</f>
        <v/>
      </c>
      <c r="X830">
        <f>IF(AN830="Complete","Complete",IF(W830&lt;0,"Overdue",IF(W830&lt;=U830*0.2,"At Risk","On Track")))</f>
        <v/>
      </c>
    </row>
    <row r="831">
      <c r="K831">
        <f>IF(J831="v4.0",L831,IF(J831="v3.1",M831,IF(J831="Both",L831,IF(AND(L831&lt;&gt;"",M831=""),L831,M831))))</f>
        <v/>
      </c>
      <c r="W831">
        <f>IF(V831&lt;&gt;"",NETWORKDAYS(TODAY(),V831),"")</f>
        <v/>
      </c>
      <c r="X831">
        <f>IF(AN831="Complete","Complete",IF(W831&lt;0,"Overdue",IF(W831&lt;=U831*0.2,"At Risk","On Track")))</f>
        <v/>
      </c>
    </row>
    <row r="832">
      <c r="K832">
        <f>IF(J832="v4.0",L832,IF(J832="v3.1",M832,IF(J832="Both",L832,IF(AND(L832&lt;&gt;"",M832=""),L832,M832))))</f>
        <v/>
      </c>
      <c r="W832">
        <f>IF(V832&lt;&gt;"",NETWORKDAYS(TODAY(),V832),"")</f>
        <v/>
      </c>
      <c r="X832">
        <f>IF(AN832="Complete","Complete",IF(W832&lt;0,"Overdue",IF(W832&lt;=U832*0.2,"At Risk","On Track")))</f>
        <v/>
      </c>
    </row>
    <row r="833">
      <c r="K833">
        <f>IF(J833="v4.0",L833,IF(J833="v3.1",M833,IF(J833="Both",L833,IF(AND(L833&lt;&gt;"",M833=""),L833,M833))))</f>
        <v/>
      </c>
      <c r="W833">
        <f>IF(V833&lt;&gt;"",NETWORKDAYS(TODAY(),V833),"")</f>
        <v/>
      </c>
      <c r="X833">
        <f>IF(AN833="Complete","Complete",IF(W833&lt;0,"Overdue",IF(W833&lt;=U833*0.2,"At Risk","On Track")))</f>
        <v/>
      </c>
    </row>
    <row r="834">
      <c r="K834">
        <f>IF(J834="v4.0",L834,IF(J834="v3.1",M834,IF(J834="Both",L834,IF(AND(L834&lt;&gt;"",M834=""),L834,M834))))</f>
        <v/>
      </c>
      <c r="W834">
        <f>IF(V834&lt;&gt;"",NETWORKDAYS(TODAY(),V834),"")</f>
        <v/>
      </c>
      <c r="X834">
        <f>IF(AN834="Complete","Complete",IF(W834&lt;0,"Overdue",IF(W834&lt;=U834*0.2,"At Risk","On Track")))</f>
        <v/>
      </c>
    </row>
    <row r="835">
      <c r="K835">
        <f>IF(J835="v4.0",L835,IF(J835="v3.1",M835,IF(J835="Both",L835,IF(AND(L835&lt;&gt;"",M835=""),L835,M835))))</f>
        <v/>
      </c>
      <c r="W835">
        <f>IF(V835&lt;&gt;"",NETWORKDAYS(TODAY(),V835),"")</f>
        <v/>
      </c>
      <c r="X835">
        <f>IF(AN835="Complete","Complete",IF(W835&lt;0,"Overdue",IF(W835&lt;=U835*0.2,"At Risk","On Track")))</f>
        <v/>
      </c>
    </row>
    <row r="836">
      <c r="K836">
        <f>IF(J836="v4.0",L836,IF(J836="v3.1",M836,IF(J836="Both",L836,IF(AND(L836&lt;&gt;"",M836=""),L836,M836))))</f>
        <v/>
      </c>
      <c r="W836">
        <f>IF(V836&lt;&gt;"",NETWORKDAYS(TODAY(),V836),"")</f>
        <v/>
      </c>
      <c r="X836">
        <f>IF(AN836="Complete","Complete",IF(W836&lt;0,"Overdue",IF(W836&lt;=U836*0.2,"At Risk","On Track")))</f>
        <v/>
      </c>
    </row>
    <row r="837">
      <c r="K837">
        <f>IF(J837="v4.0",L837,IF(J837="v3.1",M837,IF(J837="Both",L837,IF(AND(L837&lt;&gt;"",M837=""),L837,M837))))</f>
        <v/>
      </c>
      <c r="W837">
        <f>IF(V837&lt;&gt;"",NETWORKDAYS(TODAY(),V837),"")</f>
        <v/>
      </c>
      <c r="X837">
        <f>IF(AN837="Complete","Complete",IF(W837&lt;0,"Overdue",IF(W837&lt;=U837*0.2,"At Risk","On Track")))</f>
        <v/>
      </c>
    </row>
    <row r="838">
      <c r="K838">
        <f>IF(J838="v4.0",L838,IF(J838="v3.1",M838,IF(J838="Both",L838,IF(AND(L838&lt;&gt;"",M838=""),L838,M838))))</f>
        <v/>
      </c>
      <c r="W838">
        <f>IF(V838&lt;&gt;"",NETWORKDAYS(TODAY(),V838),"")</f>
        <v/>
      </c>
      <c r="X838">
        <f>IF(AN838="Complete","Complete",IF(W838&lt;0,"Overdue",IF(W838&lt;=U838*0.2,"At Risk","On Track")))</f>
        <v/>
      </c>
    </row>
    <row r="839">
      <c r="K839">
        <f>IF(J839="v4.0",L839,IF(J839="v3.1",M839,IF(J839="Both",L839,IF(AND(L839&lt;&gt;"",M839=""),L839,M839))))</f>
        <v/>
      </c>
      <c r="W839">
        <f>IF(V839&lt;&gt;"",NETWORKDAYS(TODAY(),V839),"")</f>
        <v/>
      </c>
      <c r="X839">
        <f>IF(AN839="Complete","Complete",IF(W839&lt;0,"Overdue",IF(W839&lt;=U839*0.2,"At Risk","On Track")))</f>
        <v/>
      </c>
    </row>
    <row r="840">
      <c r="K840">
        <f>IF(J840="v4.0",L840,IF(J840="v3.1",M840,IF(J840="Both",L840,IF(AND(L840&lt;&gt;"",M840=""),L840,M840))))</f>
        <v/>
      </c>
      <c r="W840">
        <f>IF(V840&lt;&gt;"",NETWORKDAYS(TODAY(),V840),"")</f>
        <v/>
      </c>
      <c r="X840">
        <f>IF(AN840="Complete","Complete",IF(W840&lt;0,"Overdue",IF(W840&lt;=U840*0.2,"At Risk","On Track")))</f>
        <v/>
      </c>
    </row>
    <row r="841">
      <c r="K841">
        <f>IF(J841="v4.0",L841,IF(J841="v3.1",M841,IF(J841="Both",L841,IF(AND(L841&lt;&gt;"",M841=""),L841,M841))))</f>
        <v/>
      </c>
      <c r="W841">
        <f>IF(V841&lt;&gt;"",NETWORKDAYS(TODAY(),V841),"")</f>
        <v/>
      </c>
      <c r="X841">
        <f>IF(AN841="Complete","Complete",IF(W841&lt;0,"Overdue",IF(W841&lt;=U841*0.2,"At Risk","On Track")))</f>
        <v/>
      </c>
    </row>
    <row r="842">
      <c r="K842">
        <f>IF(J842="v4.0",L842,IF(J842="v3.1",M842,IF(J842="Both",L842,IF(AND(L842&lt;&gt;"",M842=""),L842,M842))))</f>
        <v/>
      </c>
      <c r="W842">
        <f>IF(V842&lt;&gt;"",NETWORKDAYS(TODAY(),V842),"")</f>
        <v/>
      </c>
      <c r="X842">
        <f>IF(AN842="Complete","Complete",IF(W842&lt;0,"Overdue",IF(W842&lt;=U842*0.2,"At Risk","On Track")))</f>
        <v/>
      </c>
    </row>
    <row r="843">
      <c r="K843">
        <f>IF(J843="v4.0",L843,IF(J843="v3.1",M843,IF(J843="Both",L843,IF(AND(L843&lt;&gt;"",M843=""),L843,M843))))</f>
        <v/>
      </c>
      <c r="W843">
        <f>IF(V843&lt;&gt;"",NETWORKDAYS(TODAY(),V843),"")</f>
        <v/>
      </c>
      <c r="X843">
        <f>IF(AN843="Complete","Complete",IF(W843&lt;0,"Overdue",IF(W843&lt;=U843*0.2,"At Risk","On Track")))</f>
        <v/>
      </c>
    </row>
    <row r="844">
      <c r="K844">
        <f>IF(J844="v4.0",L844,IF(J844="v3.1",M844,IF(J844="Both",L844,IF(AND(L844&lt;&gt;"",M844=""),L844,M844))))</f>
        <v/>
      </c>
      <c r="W844">
        <f>IF(V844&lt;&gt;"",NETWORKDAYS(TODAY(),V844),"")</f>
        <v/>
      </c>
      <c r="X844">
        <f>IF(AN844="Complete","Complete",IF(W844&lt;0,"Overdue",IF(W844&lt;=U844*0.2,"At Risk","On Track")))</f>
        <v/>
      </c>
    </row>
    <row r="845">
      <c r="K845">
        <f>IF(J845="v4.0",L845,IF(J845="v3.1",M845,IF(J845="Both",L845,IF(AND(L845&lt;&gt;"",M845=""),L845,M845))))</f>
        <v/>
      </c>
      <c r="W845">
        <f>IF(V845&lt;&gt;"",NETWORKDAYS(TODAY(),V845),"")</f>
        <v/>
      </c>
      <c r="X845">
        <f>IF(AN845="Complete","Complete",IF(W845&lt;0,"Overdue",IF(W845&lt;=U845*0.2,"At Risk","On Track")))</f>
        <v/>
      </c>
    </row>
    <row r="846">
      <c r="K846">
        <f>IF(J846="v4.0",L846,IF(J846="v3.1",M846,IF(J846="Both",L846,IF(AND(L846&lt;&gt;"",M846=""),L846,M846))))</f>
        <v/>
      </c>
      <c r="W846">
        <f>IF(V846&lt;&gt;"",NETWORKDAYS(TODAY(),V846),"")</f>
        <v/>
      </c>
      <c r="X846">
        <f>IF(AN846="Complete","Complete",IF(W846&lt;0,"Overdue",IF(W846&lt;=U846*0.2,"At Risk","On Track")))</f>
        <v/>
      </c>
    </row>
    <row r="847">
      <c r="K847">
        <f>IF(J847="v4.0",L847,IF(J847="v3.1",M847,IF(J847="Both",L847,IF(AND(L847&lt;&gt;"",M847=""),L847,M847))))</f>
        <v/>
      </c>
      <c r="W847">
        <f>IF(V847&lt;&gt;"",NETWORKDAYS(TODAY(),V847),"")</f>
        <v/>
      </c>
      <c r="X847">
        <f>IF(AN847="Complete","Complete",IF(W847&lt;0,"Overdue",IF(W847&lt;=U847*0.2,"At Risk","On Track")))</f>
        <v/>
      </c>
    </row>
    <row r="848">
      <c r="K848">
        <f>IF(J848="v4.0",L848,IF(J848="v3.1",M848,IF(J848="Both",L848,IF(AND(L848&lt;&gt;"",M848=""),L848,M848))))</f>
        <v/>
      </c>
      <c r="W848">
        <f>IF(V848&lt;&gt;"",NETWORKDAYS(TODAY(),V848),"")</f>
        <v/>
      </c>
      <c r="X848">
        <f>IF(AN848="Complete","Complete",IF(W848&lt;0,"Overdue",IF(W848&lt;=U848*0.2,"At Risk","On Track")))</f>
        <v/>
      </c>
    </row>
    <row r="849">
      <c r="K849">
        <f>IF(J849="v4.0",L849,IF(J849="v3.1",M849,IF(J849="Both",L849,IF(AND(L849&lt;&gt;"",M849=""),L849,M849))))</f>
        <v/>
      </c>
      <c r="W849">
        <f>IF(V849&lt;&gt;"",NETWORKDAYS(TODAY(),V849),"")</f>
        <v/>
      </c>
      <c r="X849">
        <f>IF(AN849="Complete","Complete",IF(W849&lt;0,"Overdue",IF(W849&lt;=U849*0.2,"At Risk","On Track")))</f>
        <v/>
      </c>
    </row>
    <row r="850">
      <c r="K850">
        <f>IF(J850="v4.0",L850,IF(J850="v3.1",M850,IF(J850="Both",L850,IF(AND(L850&lt;&gt;"",M850=""),L850,M850))))</f>
        <v/>
      </c>
      <c r="W850">
        <f>IF(V850&lt;&gt;"",NETWORKDAYS(TODAY(),V850),"")</f>
        <v/>
      </c>
      <c r="X850">
        <f>IF(AN850="Complete","Complete",IF(W850&lt;0,"Overdue",IF(W850&lt;=U850*0.2,"At Risk","On Track")))</f>
        <v/>
      </c>
    </row>
    <row r="851">
      <c r="K851">
        <f>IF(J851="v4.0",L851,IF(J851="v3.1",M851,IF(J851="Both",L851,IF(AND(L851&lt;&gt;"",M851=""),L851,M851))))</f>
        <v/>
      </c>
      <c r="W851">
        <f>IF(V851&lt;&gt;"",NETWORKDAYS(TODAY(),V851),"")</f>
        <v/>
      </c>
      <c r="X851">
        <f>IF(AN851="Complete","Complete",IF(W851&lt;0,"Overdue",IF(W851&lt;=U851*0.2,"At Risk","On Track")))</f>
        <v/>
      </c>
    </row>
    <row r="852">
      <c r="K852">
        <f>IF(J852="v4.0",L852,IF(J852="v3.1",M852,IF(J852="Both",L852,IF(AND(L852&lt;&gt;"",M852=""),L852,M852))))</f>
        <v/>
      </c>
      <c r="W852">
        <f>IF(V852&lt;&gt;"",NETWORKDAYS(TODAY(),V852),"")</f>
        <v/>
      </c>
      <c r="X852">
        <f>IF(AN852="Complete","Complete",IF(W852&lt;0,"Overdue",IF(W852&lt;=U852*0.2,"At Risk","On Track")))</f>
        <v/>
      </c>
    </row>
    <row r="853">
      <c r="K853">
        <f>IF(J853="v4.0",L853,IF(J853="v3.1",M853,IF(J853="Both",L853,IF(AND(L853&lt;&gt;"",M853=""),L853,M853))))</f>
        <v/>
      </c>
      <c r="W853">
        <f>IF(V853&lt;&gt;"",NETWORKDAYS(TODAY(),V853),"")</f>
        <v/>
      </c>
      <c r="X853">
        <f>IF(AN853="Complete","Complete",IF(W853&lt;0,"Overdue",IF(W853&lt;=U853*0.2,"At Risk","On Track")))</f>
        <v/>
      </c>
    </row>
    <row r="854">
      <c r="K854">
        <f>IF(J854="v4.0",L854,IF(J854="v3.1",M854,IF(J854="Both",L854,IF(AND(L854&lt;&gt;"",M854=""),L854,M854))))</f>
        <v/>
      </c>
      <c r="W854">
        <f>IF(V854&lt;&gt;"",NETWORKDAYS(TODAY(),V854),"")</f>
        <v/>
      </c>
      <c r="X854">
        <f>IF(AN854="Complete","Complete",IF(W854&lt;0,"Overdue",IF(W854&lt;=U854*0.2,"At Risk","On Track")))</f>
        <v/>
      </c>
    </row>
    <row r="855">
      <c r="K855">
        <f>IF(J855="v4.0",L855,IF(J855="v3.1",M855,IF(J855="Both",L855,IF(AND(L855&lt;&gt;"",M855=""),L855,M855))))</f>
        <v/>
      </c>
      <c r="W855">
        <f>IF(V855&lt;&gt;"",NETWORKDAYS(TODAY(),V855),"")</f>
        <v/>
      </c>
      <c r="X855">
        <f>IF(AN855="Complete","Complete",IF(W855&lt;0,"Overdue",IF(W855&lt;=U855*0.2,"At Risk","On Track")))</f>
        <v/>
      </c>
    </row>
    <row r="856">
      <c r="K856">
        <f>IF(J856="v4.0",L856,IF(J856="v3.1",M856,IF(J856="Both",L856,IF(AND(L856&lt;&gt;"",M856=""),L856,M856))))</f>
        <v/>
      </c>
      <c r="W856">
        <f>IF(V856&lt;&gt;"",NETWORKDAYS(TODAY(),V856),"")</f>
        <v/>
      </c>
      <c r="X856">
        <f>IF(AN856="Complete","Complete",IF(W856&lt;0,"Overdue",IF(W856&lt;=U856*0.2,"At Risk","On Track")))</f>
        <v/>
      </c>
    </row>
    <row r="857">
      <c r="K857">
        <f>IF(J857="v4.0",L857,IF(J857="v3.1",M857,IF(J857="Both",L857,IF(AND(L857&lt;&gt;"",M857=""),L857,M857))))</f>
        <v/>
      </c>
      <c r="W857">
        <f>IF(V857&lt;&gt;"",NETWORKDAYS(TODAY(),V857),"")</f>
        <v/>
      </c>
      <c r="X857">
        <f>IF(AN857="Complete","Complete",IF(W857&lt;0,"Overdue",IF(W857&lt;=U857*0.2,"At Risk","On Track")))</f>
        <v/>
      </c>
    </row>
    <row r="858">
      <c r="K858">
        <f>IF(J858="v4.0",L858,IF(J858="v3.1",M858,IF(J858="Both",L858,IF(AND(L858&lt;&gt;"",M858=""),L858,M858))))</f>
        <v/>
      </c>
      <c r="W858">
        <f>IF(V858&lt;&gt;"",NETWORKDAYS(TODAY(),V858),"")</f>
        <v/>
      </c>
      <c r="X858">
        <f>IF(AN858="Complete","Complete",IF(W858&lt;0,"Overdue",IF(W858&lt;=U858*0.2,"At Risk","On Track")))</f>
        <v/>
      </c>
    </row>
    <row r="859">
      <c r="K859">
        <f>IF(J859="v4.0",L859,IF(J859="v3.1",M859,IF(J859="Both",L859,IF(AND(L859&lt;&gt;"",M859=""),L859,M859))))</f>
        <v/>
      </c>
      <c r="W859">
        <f>IF(V859&lt;&gt;"",NETWORKDAYS(TODAY(),V859),"")</f>
        <v/>
      </c>
      <c r="X859">
        <f>IF(AN859="Complete","Complete",IF(W859&lt;0,"Overdue",IF(W859&lt;=U859*0.2,"At Risk","On Track")))</f>
        <v/>
      </c>
    </row>
    <row r="860">
      <c r="K860">
        <f>IF(J860="v4.0",L860,IF(J860="v3.1",M860,IF(J860="Both",L860,IF(AND(L860&lt;&gt;"",M860=""),L860,M860))))</f>
        <v/>
      </c>
      <c r="W860">
        <f>IF(V860&lt;&gt;"",NETWORKDAYS(TODAY(),V860),"")</f>
        <v/>
      </c>
      <c r="X860">
        <f>IF(AN860="Complete","Complete",IF(W860&lt;0,"Overdue",IF(W860&lt;=U860*0.2,"At Risk","On Track")))</f>
        <v/>
      </c>
    </row>
    <row r="861">
      <c r="K861">
        <f>IF(J861="v4.0",L861,IF(J861="v3.1",M861,IF(J861="Both",L861,IF(AND(L861&lt;&gt;"",M861=""),L861,M861))))</f>
        <v/>
      </c>
      <c r="W861">
        <f>IF(V861&lt;&gt;"",NETWORKDAYS(TODAY(),V861),"")</f>
        <v/>
      </c>
      <c r="X861">
        <f>IF(AN861="Complete","Complete",IF(W861&lt;0,"Overdue",IF(W861&lt;=U861*0.2,"At Risk","On Track")))</f>
        <v/>
      </c>
    </row>
    <row r="862">
      <c r="K862">
        <f>IF(J862="v4.0",L862,IF(J862="v3.1",M862,IF(J862="Both",L862,IF(AND(L862&lt;&gt;"",M862=""),L862,M862))))</f>
        <v/>
      </c>
      <c r="W862">
        <f>IF(V862&lt;&gt;"",NETWORKDAYS(TODAY(),V862),"")</f>
        <v/>
      </c>
      <c r="X862">
        <f>IF(AN862="Complete","Complete",IF(W862&lt;0,"Overdue",IF(W862&lt;=U862*0.2,"At Risk","On Track")))</f>
        <v/>
      </c>
    </row>
    <row r="863">
      <c r="K863">
        <f>IF(J863="v4.0",L863,IF(J863="v3.1",M863,IF(J863="Both",L863,IF(AND(L863&lt;&gt;"",M863=""),L863,M863))))</f>
        <v/>
      </c>
      <c r="W863">
        <f>IF(V863&lt;&gt;"",NETWORKDAYS(TODAY(),V863),"")</f>
        <v/>
      </c>
      <c r="X863">
        <f>IF(AN863="Complete","Complete",IF(W863&lt;0,"Overdue",IF(W863&lt;=U863*0.2,"At Risk","On Track")))</f>
        <v/>
      </c>
    </row>
    <row r="864">
      <c r="K864">
        <f>IF(J864="v4.0",L864,IF(J864="v3.1",M864,IF(J864="Both",L864,IF(AND(L864&lt;&gt;"",M864=""),L864,M864))))</f>
        <v/>
      </c>
      <c r="W864">
        <f>IF(V864&lt;&gt;"",NETWORKDAYS(TODAY(),V864),"")</f>
        <v/>
      </c>
      <c r="X864">
        <f>IF(AN864="Complete","Complete",IF(W864&lt;0,"Overdue",IF(W864&lt;=U864*0.2,"At Risk","On Track")))</f>
        <v/>
      </c>
    </row>
    <row r="865">
      <c r="K865">
        <f>IF(J865="v4.0",L865,IF(J865="v3.1",M865,IF(J865="Both",L865,IF(AND(L865&lt;&gt;"",M865=""),L865,M865))))</f>
        <v/>
      </c>
      <c r="W865">
        <f>IF(V865&lt;&gt;"",NETWORKDAYS(TODAY(),V865),"")</f>
        <v/>
      </c>
      <c r="X865">
        <f>IF(AN865="Complete","Complete",IF(W865&lt;0,"Overdue",IF(W865&lt;=U865*0.2,"At Risk","On Track")))</f>
        <v/>
      </c>
    </row>
    <row r="866">
      <c r="K866">
        <f>IF(J866="v4.0",L866,IF(J866="v3.1",M866,IF(J866="Both",L866,IF(AND(L866&lt;&gt;"",M866=""),L866,M866))))</f>
        <v/>
      </c>
      <c r="W866">
        <f>IF(V866&lt;&gt;"",NETWORKDAYS(TODAY(),V866),"")</f>
        <v/>
      </c>
      <c r="X866">
        <f>IF(AN866="Complete","Complete",IF(W866&lt;0,"Overdue",IF(W866&lt;=U866*0.2,"At Risk","On Track")))</f>
        <v/>
      </c>
    </row>
    <row r="867">
      <c r="K867">
        <f>IF(J867="v4.0",L867,IF(J867="v3.1",M867,IF(J867="Both",L867,IF(AND(L867&lt;&gt;"",M867=""),L867,M867))))</f>
        <v/>
      </c>
      <c r="W867">
        <f>IF(V867&lt;&gt;"",NETWORKDAYS(TODAY(),V867),"")</f>
        <v/>
      </c>
      <c r="X867">
        <f>IF(AN867="Complete","Complete",IF(W867&lt;0,"Overdue",IF(W867&lt;=U867*0.2,"At Risk","On Track")))</f>
        <v/>
      </c>
    </row>
    <row r="868">
      <c r="K868">
        <f>IF(J868="v4.0",L868,IF(J868="v3.1",M868,IF(J868="Both",L868,IF(AND(L868&lt;&gt;"",M868=""),L868,M868))))</f>
        <v/>
      </c>
      <c r="W868">
        <f>IF(V868&lt;&gt;"",NETWORKDAYS(TODAY(),V868),"")</f>
        <v/>
      </c>
      <c r="X868">
        <f>IF(AN868="Complete","Complete",IF(W868&lt;0,"Overdue",IF(W868&lt;=U868*0.2,"At Risk","On Track")))</f>
        <v/>
      </c>
    </row>
    <row r="869">
      <c r="K869">
        <f>IF(J869="v4.0",L869,IF(J869="v3.1",M869,IF(J869="Both",L869,IF(AND(L869&lt;&gt;"",M869=""),L869,M869))))</f>
        <v/>
      </c>
      <c r="W869">
        <f>IF(V869&lt;&gt;"",NETWORKDAYS(TODAY(),V869),"")</f>
        <v/>
      </c>
      <c r="X869">
        <f>IF(AN869="Complete","Complete",IF(W869&lt;0,"Overdue",IF(W869&lt;=U869*0.2,"At Risk","On Track")))</f>
        <v/>
      </c>
    </row>
    <row r="870">
      <c r="K870">
        <f>IF(J870="v4.0",L870,IF(J870="v3.1",M870,IF(J870="Both",L870,IF(AND(L870&lt;&gt;"",M870=""),L870,M870))))</f>
        <v/>
      </c>
      <c r="W870">
        <f>IF(V870&lt;&gt;"",NETWORKDAYS(TODAY(),V870),"")</f>
        <v/>
      </c>
      <c r="X870">
        <f>IF(AN870="Complete","Complete",IF(W870&lt;0,"Overdue",IF(W870&lt;=U870*0.2,"At Risk","On Track")))</f>
        <v/>
      </c>
    </row>
    <row r="871">
      <c r="K871">
        <f>IF(J871="v4.0",L871,IF(J871="v3.1",M871,IF(J871="Both",L871,IF(AND(L871&lt;&gt;"",M871=""),L871,M871))))</f>
        <v/>
      </c>
      <c r="W871">
        <f>IF(V871&lt;&gt;"",NETWORKDAYS(TODAY(),V871),"")</f>
        <v/>
      </c>
      <c r="X871">
        <f>IF(AN871="Complete","Complete",IF(W871&lt;0,"Overdue",IF(W871&lt;=U871*0.2,"At Risk","On Track")))</f>
        <v/>
      </c>
    </row>
    <row r="872">
      <c r="K872">
        <f>IF(J872="v4.0",L872,IF(J872="v3.1",M872,IF(J872="Both",L872,IF(AND(L872&lt;&gt;"",M872=""),L872,M872))))</f>
        <v/>
      </c>
      <c r="W872">
        <f>IF(V872&lt;&gt;"",NETWORKDAYS(TODAY(),V872),"")</f>
        <v/>
      </c>
      <c r="X872">
        <f>IF(AN872="Complete","Complete",IF(W872&lt;0,"Overdue",IF(W872&lt;=U872*0.2,"At Risk","On Track")))</f>
        <v/>
      </c>
    </row>
    <row r="873">
      <c r="K873">
        <f>IF(J873="v4.0",L873,IF(J873="v3.1",M873,IF(J873="Both",L873,IF(AND(L873&lt;&gt;"",M873=""),L873,M873))))</f>
        <v/>
      </c>
      <c r="W873">
        <f>IF(V873&lt;&gt;"",NETWORKDAYS(TODAY(),V873),"")</f>
        <v/>
      </c>
      <c r="X873">
        <f>IF(AN873="Complete","Complete",IF(W873&lt;0,"Overdue",IF(W873&lt;=U873*0.2,"At Risk","On Track")))</f>
        <v/>
      </c>
    </row>
    <row r="874">
      <c r="K874">
        <f>IF(J874="v4.0",L874,IF(J874="v3.1",M874,IF(J874="Both",L874,IF(AND(L874&lt;&gt;"",M874=""),L874,M874))))</f>
        <v/>
      </c>
      <c r="W874">
        <f>IF(V874&lt;&gt;"",NETWORKDAYS(TODAY(),V874),"")</f>
        <v/>
      </c>
      <c r="X874">
        <f>IF(AN874="Complete","Complete",IF(W874&lt;0,"Overdue",IF(W874&lt;=U874*0.2,"At Risk","On Track")))</f>
        <v/>
      </c>
    </row>
    <row r="875">
      <c r="K875">
        <f>IF(J875="v4.0",L875,IF(J875="v3.1",M875,IF(J875="Both",L875,IF(AND(L875&lt;&gt;"",M875=""),L875,M875))))</f>
        <v/>
      </c>
      <c r="W875">
        <f>IF(V875&lt;&gt;"",NETWORKDAYS(TODAY(),V875),"")</f>
        <v/>
      </c>
      <c r="X875">
        <f>IF(AN875="Complete","Complete",IF(W875&lt;0,"Overdue",IF(W875&lt;=U875*0.2,"At Risk","On Track")))</f>
        <v/>
      </c>
    </row>
    <row r="876">
      <c r="K876">
        <f>IF(J876="v4.0",L876,IF(J876="v3.1",M876,IF(J876="Both",L876,IF(AND(L876&lt;&gt;"",M876=""),L876,M876))))</f>
        <v/>
      </c>
      <c r="W876">
        <f>IF(V876&lt;&gt;"",NETWORKDAYS(TODAY(),V876),"")</f>
        <v/>
      </c>
      <c r="X876">
        <f>IF(AN876="Complete","Complete",IF(W876&lt;0,"Overdue",IF(W876&lt;=U876*0.2,"At Risk","On Track")))</f>
        <v/>
      </c>
    </row>
    <row r="877">
      <c r="K877">
        <f>IF(J877="v4.0",L877,IF(J877="v3.1",M877,IF(J877="Both",L877,IF(AND(L877&lt;&gt;"",M877=""),L877,M877))))</f>
        <v/>
      </c>
      <c r="W877">
        <f>IF(V877&lt;&gt;"",NETWORKDAYS(TODAY(),V877),"")</f>
        <v/>
      </c>
      <c r="X877">
        <f>IF(AN877="Complete","Complete",IF(W877&lt;0,"Overdue",IF(W877&lt;=U877*0.2,"At Risk","On Track")))</f>
        <v/>
      </c>
    </row>
    <row r="878">
      <c r="K878">
        <f>IF(J878="v4.0",L878,IF(J878="v3.1",M878,IF(J878="Both",L878,IF(AND(L878&lt;&gt;"",M878=""),L878,M878))))</f>
        <v/>
      </c>
      <c r="W878">
        <f>IF(V878&lt;&gt;"",NETWORKDAYS(TODAY(),V878),"")</f>
        <v/>
      </c>
      <c r="X878">
        <f>IF(AN878="Complete","Complete",IF(W878&lt;0,"Overdue",IF(W878&lt;=U878*0.2,"At Risk","On Track")))</f>
        <v/>
      </c>
    </row>
    <row r="879">
      <c r="K879">
        <f>IF(J879="v4.0",L879,IF(J879="v3.1",M879,IF(J879="Both",L879,IF(AND(L879&lt;&gt;"",M879=""),L879,M879))))</f>
        <v/>
      </c>
      <c r="W879">
        <f>IF(V879&lt;&gt;"",NETWORKDAYS(TODAY(),V879),"")</f>
        <v/>
      </c>
      <c r="X879">
        <f>IF(AN879="Complete","Complete",IF(W879&lt;0,"Overdue",IF(W879&lt;=U879*0.2,"At Risk","On Track")))</f>
        <v/>
      </c>
    </row>
    <row r="880">
      <c r="K880">
        <f>IF(J880="v4.0",L880,IF(J880="v3.1",M880,IF(J880="Both",L880,IF(AND(L880&lt;&gt;"",M880=""),L880,M880))))</f>
        <v/>
      </c>
      <c r="W880">
        <f>IF(V880&lt;&gt;"",NETWORKDAYS(TODAY(),V880),"")</f>
        <v/>
      </c>
      <c r="X880">
        <f>IF(AN880="Complete","Complete",IF(W880&lt;0,"Overdue",IF(W880&lt;=U880*0.2,"At Risk","On Track")))</f>
        <v/>
      </c>
    </row>
    <row r="881">
      <c r="K881">
        <f>IF(J881="v4.0",L881,IF(J881="v3.1",M881,IF(J881="Both",L881,IF(AND(L881&lt;&gt;"",M881=""),L881,M881))))</f>
        <v/>
      </c>
      <c r="W881">
        <f>IF(V881&lt;&gt;"",NETWORKDAYS(TODAY(),V881),"")</f>
        <v/>
      </c>
      <c r="X881">
        <f>IF(AN881="Complete","Complete",IF(W881&lt;0,"Overdue",IF(W881&lt;=U881*0.2,"At Risk","On Track")))</f>
        <v/>
      </c>
    </row>
    <row r="882">
      <c r="K882">
        <f>IF(J882="v4.0",L882,IF(J882="v3.1",M882,IF(J882="Both",L882,IF(AND(L882&lt;&gt;"",M882=""),L882,M882))))</f>
        <v/>
      </c>
      <c r="W882">
        <f>IF(V882&lt;&gt;"",NETWORKDAYS(TODAY(),V882),"")</f>
        <v/>
      </c>
      <c r="X882">
        <f>IF(AN882="Complete","Complete",IF(W882&lt;0,"Overdue",IF(W882&lt;=U882*0.2,"At Risk","On Track")))</f>
        <v/>
      </c>
    </row>
    <row r="883">
      <c r="K883">
        <f>IF(J883="v4.0",L883,IF(J883="v3.1",M883,IF(J883="Both",L883,IF(AND(L883&lt;&gt;"",M883=""),L883,M883))))</f>
        <v/>
      </c>
      <c r="W883">
        <f>IF(V883&lt;&gt;"",NETWORKDAYS(TODAY(),V883),"")</f>
        <v/>
      </c>
      <c r="X883">
        <f>IF(AN883="Complete","Complete",IF(W883&lt;0,"Overdue",IF(W883&lt;=U883*0.2,"At Risk","On Track")))</f>
        <v/>
      </c>
    </row>
    <row r="884">
      <c r="K884">
        <f>IF(J884="v4.0",L884,IF(J884="v3.1",M884,IF(J884="Both",L884,IF(AND(L884&lt;&gt;"",M884=""),L884,M884))))</f>
        <v/>
      </c>
      <c r="W884">
        <f>IF(V884&lt;&gt;"",NETWORKDAYS(TODAY(),V884),"")</f>
        <v/>
      </c>
      <c r="X884">
        <f>IF(AN884="Complete","Complete",IF(W884&lt;0,"Overdue",IF(W884&lt;=U884*0.2,"At Risk","On Track")))</f>
        <v/>
      </c>
    </row>
    <row r="885">
      <c r="K885">
        <f>IF(J885="v4.0",L885,IF(J885="v3.1",M885,IF(J885="Both",L885,IF(AND(L885&lt;&gt;"",M885=""),L885,M885))))</f>
        <v/>
      </c>
      <c r="W885">
        <f>IF(V885&lt;&gt;"",NETWORKDAYS(TODAY(),V885),"")</f>
        <v/>
      </c>
      <c r="X885">
        <f>IF(AN885="Complete","Complete",IF(W885&lt;0,"Overdue",IF(W885&lt;=U885*0.2,"At Risk","On Track")))</f>
        <v/>
      </c>
    </row>
    <row r="886">
      <c r="K886">
        <f>IF(J886="v4.0",L886,IF(J886="v3.1",M886,IF(J886="Both",L886,IF(AND(L886&lt;&gt;"",M886=""),L886,M886))))</f>
        <v/>
      </c>
      <c r="W886">
        <f>IF(V886&lt;&gt;"",NETWORKDAYS(TODAY(),V886),"")</f>
        <v/>
      </c>
      <c r="X886">
        <f>IF(AN886="Complete","Complete",IF(W886&lt;0,"Overdue",IF(W886&lt;=U886*0.2,"At Risk","On Track")))</f>
        <v/>
      </c>
    </row>
    <row r="887">
      <c r="K887">
        <f>IF(J887="v4.0",L887,IF(J887="v3.1",M887,IF(J887="Both",L887,IF(AND(L887&lt;&gt;"",M887=""),L887,M887))))</f>
        <v/>
      </c>
      <c r="W887">
        <f>IF(V887&lt;&gt;"",NETWORKDAYS(TODAY(),V887),"")</f>
        <v/>
      </c>
      <c r="X887">
        <f>IF(AN887="Complete","Complete",IF(W887&lt;0,"Overdue",IF(W887&lt;=U887*0.2,"At Risk","On Track")))</f>
        <v/>
      </c>
    </row>
    <row r="888">
      <c r="K888">
        <f>IF(J888="v4.0",L888,IF(J888="v3.1",M888,IF(J888="Both",L888,IF(AND(L888&lt;&gt;"",M888=""),L888,M888))))</f>
        <v/>
      </c>
      <c r="W888">
        <f>IF(V888&lt;&gt;"",NETWORKDAYS(TODAY(),V888),"")</f>
        <v/>
      </c>
      <c r="X888">
        <f>IF(AN888="Complete","Complete",IF(W888&lt;0,"Overdue",IF(W888&lt;=U888*0.2,"At Risk","On Track")))</f>
        <v/>
      </c>
    </row>
    <row r="889">
      <c r="K889">
        <f>IF(J889="v4.0",L889,IF(J889="v3.1",M889,IF(J889="Both",L889,IF(AND(L889&lt;&gt;"",M889=""),L889,M889))))</f>
        <v/>
      </c>
      <c r="W889">
        <f>IF(V889&lt;&gt;"",NETWORKDAYS(TODAY(),V889),"")</f>
        <v/>
      </c>
      <c r="X889">
        <f>IF(AN889="Complete","Complete",IF(W889&lt;0,"Overdue",IF(W889&lt;=U889*0.2,"At Risk","On Track")))</f>
        <v/>
      </c>
    </row>
    <row r="890">
      <c r="K890">
        <f>IF(J890="v4.0",L890,IF(J890="v3.1",M890,IF(J890="Both",L890,IF(AND(L890&lt;&gt;"",M890=""),L890,M890))))</f>
        <v/>
      </c>
      <c r="W890">
        <f>IF(V890&lt;&gt;"",NETWORKDAYS(TODAY(),V890),"")</f>
        <v/>
      </c>
      <c r="X890">
        <f>IF(AN890="Complete","Complete",IF(W890&lt;0,"Overdue",IF(W890&lt;=U890*0.2,"At Risk","On Track")))</f>
        <v/>
      </c>
    </row>
    <row r="891">
      <c r="K891">
        <f>IF(J891="v4.0",L891,IF(J891="v3.1",M891,IF(J891="Both",L891,IF(AND(L891&lt;&gt;"",M891=""),L891,M891))))</f>
        <v/>
      </c>
      <c r="W891">
        <f>IF(V891&lt;&gt;"",NETWORKDAYS(TODAY(),V891),"")</f>
        <v/>
      </c>
      <c r="X891">
        <f>IF(AN891="Complete","Complete",IF(W891&lt;0,"Overdue",IF(W891&lt;=U891*0.2,"At Risk","On Track")))</f>
        <v/>
      </c>
    </row>
    <row r="892">
      <c r="K892">
        <f>IF(J892="v4.0",L892,IF(J892="v3.1",M892,IF(J892="Both",L892,IF(AND(L892&lt;&gt;"",M892=""),L892,M892))))</f>
        <v/>
      </c>
      <c r="W892">
        <f>IF(V892&lt;&gt;"",NETWORKDAYS(TODAY(),V892),"")</f>
        <v/>
      </c>
      <c r="X892">
        <f>IF(AN892="Complete","Complete",IF(W892&lt;0,"Overdue",IF(W892&lt;=U892*0.2,"At Risk","On Track")))</f>
        <v/>
      </c>
    </row>
    <row r="893">
      <c r="K893">
        <f>IF(J893="v4.0",L893,IF(J893="v3.1",M893,IF(J893="Both",L893,IF(AND(L893&lt;&gt;"",M893=""),L893,M893))))</f>
        <v/>
      </c>
      <c r="W893">
        <f>IF(V893&lt;&gt;"",NETWORKDAYS(TODAY(),V893),"")</f>
        <v/>
      </c>
      <c r="X893">
        <f>IF(AN893="Complete","Complete",IF(W893&lt;0,"Overdue",IF(W893&lt;=U893*0.2,"At Risk","On Track")))</f>
        <v/>
      </c>
    </row>
    <row r="894">
      <c r="K894">
        <f>IF(J894="v4.0",L894,IF(J894="v3.1",M894,IF(J894="Both",L894,IF(AND(L894&lt;&gt;"",M894=""),L894,M894))))</f>
        <v/>
      </c>
      <c r="W894">
        <f>IF(V894&lt;&gt;"",NETWORKDAYS(TODAY(),V894),"")</f>
        <v/>
      </c>
      <c r="X894">
        <f>IF(AN894="Complete","Complete",IF(W894&lt;0,"Overdue",IF(W894&lt;=U894*0.2,"At Risk","On Track")))</f>
        <v/>
      </c>
    </row>
    <row r="895">
      <c r="K895">
        <f>IF(J895="v4.0",L895,IF(J895="v3.1",M895,IF(J895="Both",L895,IF(AND(L895&lt;&gt;"",M895=""),L895,M895))))</f>
        <v/>
      </c>
      <c r="W895">
        <f>IF(V895&lt;&gt;"",NETWORKDAYS(TODAY(),V895),"")</f>
        <v/>
      </c>
      <c r="X895">
        <f>IF(AN895="Complete","Complete",IF(W895&lt;0,"Overdue",IF(W895&lt;=U895*0.2,"At Risk","On Track")))</f>
        <v/>
      </c>
    </row>
    <row r="896">
      <c r="K896">
        <f>IF(J896="v4.0",L896,IF(J896="v3.1",M896,IF(J896="Both",L896,IF(AND(L896&lt;&gt;"",M896=""),L896,M896))))</f>
        <v/>
      </c>
      <c r="W896">
        <f>IF(V896&lt;&gt;"",NETWORKDAYS(TODAY(),V896),"")</f>
        <v/>
      </c>
      <c r="X896">
        <f>IF(AN896="Complete","Complete",IF(W896&lt;0,"Overdue",IF(W896&lt;=U896*0.2,"At Risk","On Track")))</f>
        <v/>
      </c>
    </row>
    <row r="897">
      <c r="K897">
        <f>IF(J897="v4.0",L897,IF(J897="v3.1",M897,IF(J897="Both",L897,IF(AND(L897&lt;&gt;"",M897=""),L897,M897))))</f>
        <v/>
      </c>
      <c r="W897">
        <f>IF(V897&lt;&gt;"",NETWORKDAYS(TODAY(),V897),"")</f>
        <v/>
      </c>
      <c r="X897">
        <f>IF(AN897="Complete","Complete",IF(W897&lt;0,"Overdue",IF(W897&lt;=U897*0.2,"At Risk","On Track")))</f>
        <v/>
      </c>
    </row>
    <row r="898">
      <c r="K898">
        <f>IF(J898="v4.0",L898,IF(J898="v3.1",M898,IF(J898="Both",L898,IF(AND(L898&lt;&gt;"",M898=""),L898,M898))))</f>
        <v/>
      </c>
      <c r="W898">
        <f>IF(V898&lt;&gt;"",NETWORKDAYS(TODAY(),V898),"")</f>
        <v/>
      </c>
      <c r="X898">
        <f>IF(AN898="Complete","Complete",IF(W898&lt;0,"Overdue",IF(W898&lt;=U898*0.2,"At Risk","On Track")))</f>
        <v/>
      </c>
    </row>
    <row r="899">
      <c r="K899">
        <f>IF(J899="v4.0",L899,IF(J899="v3.1",M899,IF(J899="Both",L899,IF(AND(L899&lt;&gt;"",M899=""),L899,M899))))</f>
        <v/>
      </c>
      <c r="W899">
        <f>IF(V899&lt;&gt;"",NETWORKDAYS(TODAY(),V899),"")</f>
        <v/>
      </c>
      <c r="X899">
        <f>IF(AN899="Complete","Complete",IF(W899&lt;0,"Overdue",IF(W899&lt;=U899*0.2,"At Risk","On Track")))</f>
        <v/>
      </c>
    </row>
    <row r="900">
      <c r="K900">
        <f>IF(J900="v4.0",L900,IF(J900="v3.1",M900,IF(J900="Both",L900,IF(AND(L900&lt;&gt;"",M900=""),L900,M900))))</f>
        <v/>
      </c>
      <c r="W900">
        <f>IF(V900&lt;&gt;"",NETWORKDAYS(TODAY(),V900),"")</f>
        <v/>
      </c>
      <c r="X900">
        <f>IF(AN900="Complete","Complete",IF(W900&lt;0,"Overdue",IF(W900&lt;=U900*0.2,"At Risk","On Track")))</f>
        <v/>
      </c>
    </row>
    <row r="901">
      <c r="K901">
        <f>IF(J901="v4.0",L901,IF(J901="v3.1",M901,IF(J901="Both",L901,IF(AND(L901&lt;&gt;"",M901=""),L901,M901))))</f>
        <v/>
      </c>
      <c r="W901">
        <f>IF(V901&lt;&gt;"",NETWORKDAYS(TODAY(),V901),"")</f>
        <v/>
      </c>
      <c r="X901">
        <f>IF(AN901="Complete","Complete",IF(W901&lt;0,"Overdue",IF(W901&lt;=U901*0.2,"At Risk","On Track")))</f>
        <v/>
      </c>
    </row>
    <row r="902">
      <c r="K902">
        <f>IF(J902="v4.0",L902,IF(J902="v3.1",M902,IF(J902="Both",L902,IF(AND(L902&lt;&gt;"",M902=""),L902,M902))))</f>
        <v/>
      </c>
      <c r="W902">
        <f>IF(V902&lt;&gt;"",NETWORKDAYS(TODAY(),V902),"")</f>
        <v/>
      </c>
      <c r="X902">
        <f>IF(AN902="Complete","Complete",IF(W902&lt;0,"Overdue",IF(W902&lt;=U902*0.2,"At Risk","On Track")))</f>
        <v/>
      </c>
    </row>
    <row r="903">
      <c r="K903">
        <f>IF(J903="v4.0",L903,IF(J903="v3.1",M903,IF(J903="Both",L903,IF(AND(L903&lt;&gt;"",M903=""),L903,M903))))</f>
        <v/>
      </c>
      <c r="W903">
        <f>IF(V903&lt;&gt;"",NETWORKDAYS(TODAY(),V903),"")</f>
        <v/>
      </c>
      <c r="X903">
        <f>IF(AN903="Complete","Complete",IF(W903&lt;0,"Overdue",IF(W903&lt;=U903*0.2,"At Risk","On Track")))</f>
        <v/>
      </c>
    </row>
    <row r="904">
      <c r="K904">
        <f>IF(J904="v4.0",L904,IF(J904="v3.1",M904,IF(J904="Both",L904,IF(AND(L904&lt;&gt;"",M904=""),L904,M904))))</f>
        <v/>
      </c>
      <c r="W904">
        <f>IF(V904&lt;&gt;"",NETWORKDAYS(TODAY(),V904),"")</f>
        <v/>
      </c>
      <c r="X904">
        <f>IF(AN904="Complete","Complete",IF(W904&lt;0,"Overdue",IF(W904&lt;=U904*0.2,"At Risk","On Track")))</f>
        <v/>
      </c>
    </row>
    <row r="905">
      <c r="K905">
        <f>IF(J905="v4.0",L905,IF(J905="v3.1",M905,IF(J905="Both",L905,IF(AND(L905&lt;&gt;"",M905=""),L905,M905))))</f>
        <v/>
      </c>
      <c r="W905">
        <f>IF(V905&lt;&gt;"",NETWORKDAYS(TODAY(),V905),"")</f>
        <v/>
      </c>
      <c r="X905">
        <f>IF(AN905="Complete","Complete",IF(W905&lt;0,"Overdue",IF(W905&lt;=U905*0.2,"At Risk","On Track")))</f>
        <v/>
      </c>
    </row>
    <row r="906">
      <c r="K906">
        <f>IF(J906="v4.0",L906,IF(J906="v3.1",M906,IF(J906="Both",L906,IF(AND(L906&lt;&gt;"",M906=""),L906,M906))))</f>
        <v/>
      </c>
      <c r="W906">
        <f>IF(V906&lt;&gt;"",NETWORKDAYS(TODAY(),V906),"")</f>
        <v/>
      </c>
      <c r="X906">
        <f>IF(AN906="Complete","Complete",IF(W906&lt;0,"Overdue",IF(W906&lt;=U906*0.2,"At Risk","On Track")))</f>
        <v/>
      </c>
    </row>
    <row r="907">
      <c r="K907">
        <f>IF(J907="v4.0",L907,IF(J907="v3.1",M907,IF(J907="Both",L907,IF(AND(L907&lt;&gt;"",M907=""),L907,M907))))</f>
        <v/>
      </c>
      <c r="W907">
        <f>IF(V907&lt;&gt;"",NETWORKDAYS(TODAY(),V907),"")</f>
        <v/>
      </c>
      <c r="X907">
        <f>IF(AN907="Complete","Complete",IF(W907&lt;0,"Overdue",IF(W907&lt;=U907*0.2,"At Risk","On Track")))</f>
        <v/>
      </c>
    </row>
    <row r="908">
      <c r="K908">
        <f>IF(J908="v4.0",L908,IF(J908="v3.1",M908,IF(J908="Both",L908,IF(AND(L908&lt;&gt;"",M908=""),L908,M908))))</f>
        <v/>
      </c>
      <c r="W908">
        <f>IF(V908&lt;&gt;"",NETWORKDAYS(TODAY(),V908),"")</f>
        <v/>
      </c>
      <c r="X908">
        <f>IF(AN908="Complete","Complete",IF(W908&lt;0,"Overdue",IF(W908&lt;=U908*0.2,"At Risk","On Track")))</f>
        <v/>
      </c>
    </row>
    <row r="909">
      <c r="K909">
        <f>IF(J909="v4.0",L909,IF(J909="v3.1",M909,IF(J909="Both",L909,IF(AND(L909&lt;&gt;"",M909=""),L909,M909))))</f>
        <v/>
      </c>
      <c r="W909">
        <f>IF(V909&lt;&gt;"",NETWORKDAYS(TODAY(),V909),"")</f>
        <v/>
      </c>
      <c r="X909">
        <f>IF(AN909="Complete","Complete",IF(W909&lt;0,"Overdue",IF(W909&lt;=U909*0.2,"At Risk","On Track")))</f>
        <v/>
      </c>
    </row>
    <row r="910">
      <c r="K910">
        <f>IF(J910="v4.0",L910,IF(J910="v3.1",M910,IF(J910="Both",L910,IF(AND(L910&lt;&gt;"",M910=""),L910,M910))))</f>
        <v/>
      </c>
      <c r="W910">
        <f>IF(V910&lt;&gt;"",NETWORKDAYS(TODAY(),V910),"")</f>
        <v/>
      </c>
      <c r="X910">
        <f>IF(AN910="Complete","Complete",IF(W910&lt;0,"Overdue",IF(W910&lt;=U910*0.2,"At Risk","On Track")))</f>
        <v/>
      </c>
    </row>
    <row r="911">
      <c r="K911">
        <f>IF(J911="v4.0",L911,IF(J911="v3.1",M911,IF(J911="Both",L911,IF(AND(L911&lt;&gt;"",M911=""),L911,M911))))</f>
        <v/>
      </c>
      <c r="W911">
        <f>IF(V911&lt;&gt;"",NETWORKDAYS(TODAY(),V911),"")</f>
        <v/>
      </c>
      <c r="X911">
        <f>IF(AN911="Complete","Complete",IF(W911&lt;0,"Overdue",IF(W911&lt;=U911*0.2,"At Risk","On Track")))</f>
        <v/>
      </c>
    </row>
    <row r="912">
      <c r="K912">
        <f>IF(J912="v4.0",L912,IF(J912="v3.1",M912,IF(J912="Both",L912,IF(AND(L912&lt;&gt;"",M912=""),L912,M912))))</f>
        <v/>
      </c>
      <c r="W912">
        <f>IF(V912&lt;&gt;"",NETWORKDAYS(TODAY(),V912),"")</f>
        <v/>
      </c>
      <c r="X912">
        <f>IF(AN912="Complete","Complete",IF(W912&lt;0,"Overdue",IF(W912&lt;=U912*0.2,"At Risk","On Track")))</f>
        <v/>
      </c>
    </row>
    <row r="913">
      <c r="K913">
        <f>IF(J913="v4.0",L913,IF(J913="v3.1",M913,IF(J913="Both",L913,IF(AND(L913&lt;&gt;"",M913=""),L913,M913))))</f>
        <v/>
      </c>
      <c r="W913">
        <f>IF(V913&lt;&gt;"",NETWORKDAYS(TODAY(),V913),"")</f>
        <v/>
      </c>
      <c r="X913">
        <f>IF(AN913="Complete","Complete",IF(W913&lt;0,"Overdue",IF(W913&lt;=U913*0.2,"At Risk","On Track")))</f>
        <v/>
      </c>
    </row>
    <row r="914">
      <c r="K914">
        <f>IF(J914="v4.0",L914,IF(J914="v3.1",M914,IF(J914="Both",L914,IF(AND(L914&lt;&gt;"",M914=""),L914,M914))))</f>
        <v/>
      </c>
      <c r="W914">
        <f>IF(V914&lt;&gt;"",NETWORKDAYS(TODAY(),V914),"")</f>
        <v/>
      </c>
      <c r="X914">
        <f>IF(AN914="Complete","Complete",IF(W914&lt;0,"Overdue",IF(W914&lt;=U914*0.2,"At Risk","On Track")))</f>
        <v/>
      </c>
    </row>
    <row r="915">
      <c r="K915">
        <f>IF(J915="v4.0",L915,IF(J915="v3.1",M915,IF(J915="Both",L915,IF(AND(L915&lt;&gt;"",M915=""),L915,M915))))</f>
        <v/>
      </c>
      <c r="W915">
        <f>IF(V915&lt;&gt;"",NETWORKDAYS(TODAY(),V915),"")</f>
        <v/>
      </c>
      <c r="X915">
        <f>IF(AN915="Complete","Complete",IF(W915&lt;0,"Overdue",IF(W915&lt;=U915*0.2,"At Risk","On Track")))</f>
        <v/>
      </c>
    </row>
    <row r="916">
      <c r="K916">
        <f>IF(J916="v4.0",L916,IF(J916="v3.1",M916,IF(J916="Both",L916,IF(AND(L916&lt;&gt;"",M916=""),L916,M916))))</f>
        <v/>
      </c>
      <c r="W916">
        <f>IF(V916&lt;&gt;"",NETWORKDAYS(TODAY(),V916),"")</f>
        <v/>
      </c>
      <c r="X916">
        <f>IF(AN916="Complete","Complete",IF(W916&lt;0,"Overdue",IF(W916&lt;=U916*0.2,"At Risk","On Track")))</f>
        <v/>
      </c>
    </row>
    <row r="917">
      <c r="K917">
        <f>IF(J917="v4.0",L917,IF(J917="v3.1",M917,IF(J917="Both",L917,IF(AND(L917&lt;&gt;"",M917=""),L917,M917))))</f>
        <v/>
      </c>
      <c r="W917">
        <f>IF(V917&lt;&gt;"",NETWORKDAYS(TODAY(),V917),"")</f>
        <v/>
      </c>
      <c r="X917">
        <f>IF(AN917="Complete","Complete",IF(W917&lt;0,"Overdue",IF(W917&lt;=U917*0.2,"At Risk","On Track")))</f>
        <v/>
      </c>
    </row>
    <row r="918">
      <c r="K918">
        <f>IF(J918="v4.0",L918,IF(J918="v3.1",M918,IF(J918="Both",L918,IF(AND(L918&lt;&gt;"",M918=""),L918,M918))))</f>
        <v/>
      </c>
      <c r="W918">
        <f>IF(V918&lt;&gt;"",NETWORKDAYS(TODAY(),V918),"")</f>
        <v/>
      </c>
      <c r="X918">
        <f>IF(AN918="Complete","Complete",IF(W918&lt;0,"Overdue",IF(W918&lt;=U918*0.2,"At Risk","On Track")))</f>
        <v/>
      </c>
    </row>
    <row r="919">
      <c r="K919">
        <f>IF(J919="v4.0",L919,IF(J919="v3.1",M919,IF(J919="Both",L919,IF(AND(L919&lt;&gt;"",M919=""),L919,M919))))</f>
        <v/>
      </c>
      <c r="W919">
        <f>IF(V919&lt;&gt;"",NETWORKDAYS(TODAY(),V919),"")</f>
        <v/>
      </c>
      <c r="X919">
        <f>IF(AN919="Complete","Complete",IF(W919&lt;0,"Overdue",IF(W919&lt;=U919*0.2,"At Risk","On Track")))</f>
        <v/>
      </c>
    </row>
    <row r="920">
      <c r="K920">
        <f>IF(J920="v4.0",L920,IF(J920="v3.1",M920,IF(J920="Both",L920,IF(AND(L920&lt;&gt;"",M920=""),L920,M920))))</f>
        <v/>
      </c>
      <c r="W920">
        <f>IF(V920&lt;&gt;"",NETWORKDAYS(TODAY(),V920),"")</f>
        <v/>
      </c>
      <c r="X920">
        <f>IF(AN920="Complete","Complete",IF(W920&lt;0,"Overdue",IF(W920&lt;=U920*0.2,"At Risk","On Track")))</f>
        <v/>
      </c>
    </row>
    <row r="921">
      <c r="K921">
        <f>IF(J921="v4.0",L921,IF(J921="v3.1",M921,IF(J921="Both",L921,IF(AND(L921&lt;&gt;"",M921=""),L921,M921))))</f>
        <v/>
      </c>
      <c r="W921">
        <f>IF(V921&lt;&gt;"",NETWORKDAYS(TODAY(),V921),"")</f>
        <v/>
      </c>
      <c r="X921">
        <f>IF(AN921="Complete","Complete",IF(W921&lt;0,"Overdue",IF(W921&lt;=U921*0.2,"At Risk","On Track")))</f>
        <v/>
      </c>
    </row>
    <row r="922">
      <c r="K922">
        <f>IF(J922="v4.0",L922,IF(J922="v3.1",M922,IF(J922="Both",L922,IF(AND(L922&lt;&gt;"",M922=""),L922,M922))))</f>
        <v/>
      </c>
      <c r="W922">
        <f>IF(V922&lt;&gt;"",NETWORKDAYS(TODAY(),V922),"")</f>
        <v/>
      </c>
      <c r="X922">
        <f>IF(AN922="Complete","Complete",IF(W922&lt;0,"Overdue",IF(W922&lt;=U922*0.2,"At Risk","On Track")))</f>
        <v/>
      </c>
    </row>
    <row r="923">
      <c r="K923">
        <f>IF(J923="v4.0",L923,IF(J923="v3.1",M923,IF(J923="Both",L923,IF(AND(L923&lt;&gt;"",M923=""),L923,M923))))</f>
        <v/>
      </c>
      <c r="W923">
        <f>IF(V923&lt;&gt;"",NETWORKDAYS(TODAY(),V923),"")</f>
        <v/>
      </c>
      <c r="X923">
        <f>IF(AN923="Complete","Complete",IF(W923&lt;0,"Overdue",IF(W923&lt;=U923*0.2,"At Risk","On Track")))</f>
        <v/>
      </c>
    </row>
    <row r="924">
      <c r="K924">
        <f>IF(J924="v4.0",L924,IF(J924="v3.1",M924,IF(J924="Both",L924,IF(AND(L924&lt;&gt;"",M924=""),L924,M924))))</f>
        <v/>
      </c>
      <c r="W924">
        <f>IF(V924&lt;&gt;"",NETWORKDAYS(TODAY(),V924),"")</f>
        <v/>
      </c>
      <c r="X924">
        <f>IF(AN924="Complete","Complete",IF(W924&lt;0,"Overdue",IF(W924&lt;=U924*0.2,"At Risk","On Track")))</f>
        <v/>
      </c>
    </row>
    <row r="925">
      <c r="K925">
        <f>IF(J925="v4.0",L925,IF(J925="v3.1",M925,IF(J925="Both",L925,IF(AND(L925&lt;&gt;"",M925=""),L925,M925))))</f>
        <v/>
      </c>
      <c r="W925">
        <f>IF(V925&lt;&gt;"",NETWORKDAYS(TODAY(),V925),"")</f>
        <v/>
      </c>
      <c r="X925">
        <f>IF(AN925="Complete","Complete",IF(W925&lt;0,"Overdue",IF(W925&lt;=U925*0.2,"At Risk","On Track")))</f>
        <v/>
      </c>
    </row>
    <row r="926">
      <c r="K926">
        <f>IF(J926="v4.0",L926,IF(J926="v3.1",M926,IF(J926="Both",L926,IF(AND(L926&lt;&gt;"",M926=""),L926,M926))))</f>
        <v/>
      </c>
      <c r="W926">
        <f>IF(V926&lt;&gt;"",NETWORKDAYS(TODAY(),V926),"")</f>
        <v/>
      </c>
      <c r="X926">
        <f>IF(AN926="Complete","Complete",IF(W926&lt;0,"Overdue",IF(W926&lt;=U926*0.2,"At Risk","On Track")))</f>
        <v/>
      </c>
    </row>
    <row r="927">
      <c r="K927">
        <f>IF(J927="v4.0",L927,IF(J927="v3.1",M927,IF(J927="Both",L927,IF(AND(L927&lt;&gt;"",M927=""),L927,M927))))</f>
        <v/>
      </c>
      <c r="W927">
        <f>IF(V927&lt;&gt;"",NETWORKDAYS(TODAY(),V927),"")</f>
        <v/>
      </c>
      <c r="X927">
        <f>IF(AN927="Complete","Complete",IF(W927&lt;0,"Overdue",IF(W927&lt;=U927*0.2,"At Risk","On Track")))</f>
        <v/>
      </c>
    </row>
    <row r="928">
      <c r="K928">
        <f>IF(J928="v4.0",L928,IF(J928="v3.1",M928,IF(J928="Both",L928,IF(AND(L928&lt;&gt;"",M928=""),L928,M928))))</f>
        <v/>
      </c>
      <c r="W928">
        <f>IF(V928&lt;&gt;"",NETWORKDAYS(TODAY(),V928),"")</f>
        <v/>
      </c>
      <c r="X928">
        <f>IF(AN928="Complete","Complete",IF(W928&lt;0,"Overdue",IF(W928&lt;=U928*0.2,"At Risk","On Track")))</f>
        <v/>
      </c>
    </row>
    <row r="929">
      <c r="K929">
        <f>IF(J929="v4.0",L929,IF(J929="v3.1",M929,IF(J929="Both",L929,IF(AND(L929&lt;&gt;"",M929=""),L929,M929))))</f>
        <v/>
      </c>
      <c r="W929">
        <f>IF(V929&lt;&gt;"",NETWORKDAYS(TODAY(),V929),"")</f>
        <v/>
      </c>
      <c r="X929">
        <f>IF(AN929="Complete","Complete",IF(W929&lt;0,"Overdue",IF(W929&lt;=U929*0.2,"At Risk","On Track")))</f>
        <v/>
      </c>
    </row>
    <row r="930">
      <c r="K930">
        <f>IF(J930="v4.0",L930,IF(J930="v3.1",M930,IF(J930="Both",L930,IF(AND(L930&lt;&gt;"",M930=""),L930,M930))))</f>
        <v/>
      </c>
      <c r="W930">
        <f>IF(V930&lt;&gt;"",NETWORKDAYS(TODAY(),V930),"")</f>
        <v/>
      </c>
      <c r="X930">
        <f>IF(AN930="Complete","Complete",IF(W930&lt;0,"Overdue",IF(W930&lt;=U930*0.2,"At Risk","On Track")))</f>
        <v/>
      </c>
    </row>
    <row r="931">
      <c r="K931">
        <f>IF(J931="v4.0",L931,IF(J931="v3.1",M931,IF(J931="Both",L931,IF(AND(L931&lt;&gt;"",M931=""),L931,M931))))</f>
        <v/>
      </c>
      <c r="W931">
        <f>IF(V931&lt;&gt;"",NETWORKDAYS(TODAY(),V931),"")</f>
        <v/>
      </c>
      <c r="X931">
        <f>IF(AN931="Complete","Complete",IF(W931&lt;0,"Overdue",IF(W931&lt;=U931*0.2,"At Risk","On Track")))</f>
        <v/>
      </c>
    </row>
    <row r="932">
      <c r="K932">
        <f>IF(J932="v4.0",L932,IF(J932="v3.1",M932,IF(J932="Both",L932,IF(AND(L932&lt;&gt;"",M932=""),L932,M932))))</f>
        <v/>
      </c>
      <c r="W932">
        <f>IF(V932&lt;&gt;"",NETWORKDAYS(TODAY(),V932),"")</f>
        <v/>
      </c>
      <c r="X932">
        <f>IF(AN932="Complete","Complete",IF(W932&lt;0,"Overdue",IF(W932&lt;=U932*0.2,"At Risk","On Track")))</f>
        <v/>
      </c>
    </row>
    <row r="933">
      <c r="K933">
        <f>IF(J933="v4.0",L933,IF(J933="v3.1",M933,IF(J933="Both",L933,IF(AND(L933&lt;&gt;"",M933=""),L933,M933))))</f>
        <v/>
      </c>
      <c r="W933">
        <f>IF(V933&lt;&gt;"",NETWORKDAYS(TODAY(),V933),"")</f>
        <v/>
      </c>
      <c r="X933">
        <f>IF(AN933="Complete","Complete",IF(W933&lt;0,"Overdue",IF(W933&lt;=U933*0.2,"At Risk","On Track")))</f>
        <v/>
      </c>
    </row>
    <row r="934">
      <c r="K934">
        <f>IF(J934="v4.0",L934,IF(J934="v3.1",M934,IF(J934="Both",L934,IF(AND(L934&lt;&gt;"",M934=""),L934,M934))))</f>
        <v/>
      </c>
      <c r="W934">
        <f>IF(V934&lt;&gt;"",NETWORKDAYS(TODAY(),V934),"")</f>
        <v/>
      </c>
      <c r="X934">
        <f>IF(AN934="Complete","Complete",IF(W934&lt;0,"Overdue",IF(W934&lt;=U934*0.2,"At Risk","On Track")))</f>
        <v/>
      </c>
    </row>
    <row r="935">
      <c r="K935">
        <f>IF(J935="v4.0",L935,IF(J935="v3.1",M935,IF(J935="Both",L935,IF(AND(L935&lt;&gt;"",M935=""),L935,M935))))</f>
        <v/>
      </c>
      <c r="W935">
        <f>IF(V935&lt;&gt;"",NETWORKDAYS(TODAY(),V935),"")</f>
        <v/>
      </c>
      <c r="X935">
        <f>IF(AN935="Complete","Complete",IF(W935&lt;0,"Overdue",IF(W935&lt;=U935*0.2,"At Risk","On Track")))</f>
        <v/>
      </c>
    </row>
    <row r="936">
      <c r="K936">
        <f>IF(J936="v4.0",L936,IF(J936="v3.1",M936,IF(J936="Both",L936,IF(AND(L936&lt;&gt;"",M936=""),L936,M936))))</f>
        <v/>
      </c>
      <c r="W936">
        <f>IF(V936&lt;&gt;"",NETWORKDAYS(TODAY(),V936),"")</f>
        <v/>
      </c>
      <c r="X936">
        <f>IF(AN936="Complete","Complete",IF(W936&lt;0,"Overdue",IF(W936&lt;=U936*0.2,"At Risk","On Track")))</f>
        <v/>
      </c>
    </row>
    <row r="937">
      <c r="K937">
        <f>IF(J937="v4.0",L937,IF(J937="v3.1",M937,IF(J937="Both",L937,IF(AND(L937&lt;&gt;"",M937=""),L937,M937))))</f>
        <v/>
      </c>
      <c r="W937">
        <f>IF(V937&lt;&gt;"",NETWORKDAYS(TODAY(),V937),"")</f>
        <v/>
      </c>
      <c r="X937">
        <f>IF(AN937="Complete","Complete",IF(W937&lt;0,"Overdue",IF(W937&lt;=U937*0.2,"At Risk","On Track")))</f>
        <v/>
      </c>
    </row>
    <row r="938">
      <c r="K938">
        <f>IF(J938="v4.0",L938,IF(J938="v3.1",M938,IF(J938="Both",L938,IF(AND(L938&lt;&gt;"",M938=""),L938,M938))))</f>
        <v/>
      </c>
      <c r="W938">
        <f>IF(V938&lt;&gt;"",NETWORKDAYS(TODAY(),V938),"")</f>
        <v/>
      </c>
      <c r="X938">
        <f>IF(AN938="Complete","Complete",IF(W938&lt;0,"Overdue",IF(W938&lt;=U938*0.2,"At Risk","On Track")))</f>
        <v/>
      </c>
    </row>
    <row r="939">
      <c r="K939">
        <f>IF(J939="v4.0",L939,IF(J939="v3.1",M939,IF(J939="Both",L939,IF(AND(L939&lt;&gt;"",M939=""),L939,M939))))</f>
        <v/>
      </c>
      <c r="W939">
        <f>IF(V939&lt;&gt;"",NETWORKDAYS(TODAY(),V939),"")</f>
        <v/>
      </c>
      <c r="X939">
        <f>IF(AN939="Complete","Complete",IF(W939&lt;0,"Overdue",IF(W939&lt;=U939*0.2,"At Risk","On Track")))</f>
        <v/>
      </c>
    </row>
    <row r="940">
      <c r="K940">
        <f>IF(J940="v4.0",L940,IF(J940="v3.1",M940,IF(J940="Both",L940,IF(AND(L940&lt;&gt;"",M940=""),L940,M940))))</f>
        <v/>
      </c>
      <c r="W940">
        <f>IF(V940&lt;&gt;"",NETWORKDAYS(TODAY(),V940),"")</f>
        <v/>
      </c>
      <c r="X940">
        <f>IF(AN940="Complete","Complete",IF(W940&lt;0,"Overdue",IF(W940&lt;=U940*0.2,"At Risk","On Track")))</f>
        <v/>
      </c>
    </row>
    <row r="941">
      <c r="K941">
        <f>IF(J941="v4.0",L941,IF(J941="v3.1",M941,IF(J941="Both",L941,IF(AND(L941&lt;&gt;"",M941=""),L941,M941))))</f>
        <v/>
      </c>
      <c r="W941">
        <f>IF(V941&lt;&gt;"",NETWORKDAYS(TODAY(),V941),"")</f>
        <v/>
      </c>
      <c r="X941">
        <f>IF(AN941="Complete","Complete",IF(W941&lt;0,"Overdue",IF(W941&lt;=U941*0.2,"At Risk","On Track")))</f>
        <v/>
      </c>
    </row>
    <row r="942">
      <c r="K942">
        <f>IF(J942="v4.0",L942,IF(J942="v3.1",M942,IF(J942="Both",L942,IF(AND(L942&lt;&gt;"",M942=""),L942,M942))))</f>
        <v/>
      </c>
      <c r="W942">
        <f>IF(V942&lt;&gt;"",NETWORKDAYS(TODAY(),V942),"")</f>
        <v/>
      </c>
      <c r="X942">
        <f>IF(AN942="Complete","Complete",IF(W942&lt;0,"Overdue",IF(W942&lt;=U942*0.2,"At Risk","On Track")))</f>
        <v/>
      </c>
    </row>
    <row r="943">
      <c r="K943">
        <f>IF(J943="v4.0",L943,IF(J943="v3.1",M943,IF(J943="Both",L943,IF(AND(L943&lt;&gt;"",M943=""),L943,M943))))</f>
        <v/>
      </c>
      <c r="W943">
        <f>IF(V943&lt;&gt;"",NETWORKDAYS(TODAY(),V943),"")</f>
        <v/>
      </c>
      <c r="X943">
        <f>IF(AN943="Complete","Complete",IF(W943&lt;0,"Overdue",IF(W943&lt;=U943*0.2,"At Risk","On Track")))</f>
        <v/>
      </c>
    </row>
    <row r="944">
      <c r="K944">
        <f>IF(J944="v4.0",L944,IF(J944="v3.1",M944,IF(J944="Both",L944,IF(AND(L944&lt;&gt;"",M944=""),L944,M944))))</f>
        <v/>
      </c>
      <c r="W944">
        <f>IF(V944&lt;&gt;"",NETWORKDAYS(TODAY(),V944),"")</f>
        <v/>
      </c>
      <c r="X944">
        <f>IF(AN944="Complete","Complete",IF(W944&lt;0,"Overdue",IF(W944&lt;=U944*0.2,"At Risk","On Track")))</f>
        <v/>
      </c>
    </row>
    <row r="945">
      <c r="K945">
        <f>IF(J945="v4.0",L945,IF(J945="v3.1",M945,IF(J945="Both",L945,IF(AND(L945&lt;&gt;"",M945=""),L945,M945))))</f>
        <v/>
      </c>
      <c r="W945">
        <f>IF(V945&lt;&gt;"",NETWORKDAYS(TODAY(),V945),"")</f>
        <v/>
      </c>
      <c r="X945">
        <f>IF(AN945="Complete","Complete",IF(W945&lt;0,"Overdue",IF(W945&lt;=U945*0.2,"At Risk","On Track")))</f>
        <v/>
      </c>
    </row>
    <row r="946">
      <c r="K946">
        <f>IF(J946="v4.0",L946,IF(J946="v3.1",M946,IF(J946="Both",L946,IF(AND(L946&lt;&gt;"",M946=""),L946,M946))))</f>
        <v/>
      </c>
      <c r="W946">
        <f>IF(V946&lt;&gt;"",NETWORKDAYS(TODAY(),V946),"")</f>
        <v/>
      </c>
      <c r="X946">
        <f>IF(AN946="Complete","Complete",IF(W946&lt;0,"Overdue",IF(W946&lt;=U946*0.2,"At Risk","On Track")))</f>
        <v/>
      </c>
    </row>
    <row r="947">
      <c r="K947">
        <f>IF(J947="v4.0",L947,IF(J947="v3.1",M947,IF(J947="Both",L947,IF(AND(L947&lt;&gt;"",M947=""),L947,M947))))</f>
        <v/>
      </c>
      <c r="W947">
        <f>IF(V947&lt;&gt;"",NETWORKDAYS(TODAY(),V947),"")</f>
        <v/>
      </c>
      <c r="X947">
        <f>IF(AN947="Complete","Complete",IF(W947&lt;0,"Overdue",IF(W947&lt;=U947*0.2,"At Risk","On Track")))</f>
        <v/>
      </c>
    </row>
    <row r="948">
      <c r="K948">
        <f>IF(J948="v4.0",L948,IF(J948="v3.1",M948,IF(J948="Both",L948,IF(AND(L948&lt;&gt;"",M948=""),L948,M948))))</f>
        <v/>
      </c>
      <c r="W948">
        <f>IF(V948&lt;&gt;"",NETWORKDAYS(TODAY(),V948),"")</f>
        <v/>
      </c>
      <c r="X948">
        <f>IF(AN948="Complete","Complete",IF(W948&lt;0,"Overdue",IF(W948&lt;=U948*0.2,"At Risk","On Track")))</f>
        <v/>
      </c>
    </row>
    <row r="949">
      <c r="K949">
        <f>IF(J949="v4.0",L949,IF(J949="v3.1",M949,IF(J949="Both",L949,IF(AND(L949&lt;&gt;"",M949=""),L949,M949))))</f>
        <v/>
      </c>
      <c r="W949">
        <f>IF(V949&lt;&gt;"",NETWORKDAYS(TODAY(),V949),"")</f>
        <v/>
      </c>
      <c r="X949">
        <f>IF(AN949="Complete","Complete",IF(W949&lt;0,"Overdue",IF(W949&lt;=U949*0.2,"At Risk","On Track")))</f>
        <v/>
      </c>
    </row>
    <row r="950">
      <c r="K950">
        <f>IF(J950="v4.0",L950,IF(J950="v3.1",M950,IF(J950="Both",L950,IF(AND(L950&lt;&gt;"",M950=""),L950,M950))))</f>
        <v/>
      </c>
      <c r="W950">
        <f>IF(V950&lt;&gt;"",NETWORKDAYS(TODAY(),V950),"")</f>
        <v/>
      </c>
      <c r="X950">
        <f>IF(AN950="Complete","Complete",IF(W950&lt;0,"Overdue",IF(W950&lt;=U950*0.2,"At Risk","On Track")))</f>
        <v/>
      </c>
    </row>
    <row r="951">
      <c r="K951">
        <f>IF(J951="v4.0",L951,IF(J951="v3.1",M951,IF(J951="Both",L951,IF(AND(L951&lt;&gt;"",M951=""),L951,M951))))</f>
        <v/>
      </c>
      <c r="W951">
        <f>IF(V951&lt;&gt;"",NETWORKDAYS(TODAY(),V951),"")</f>
        <v/>
      </c>
      <c r="X951">
        <f>IF(AN951="Complete","Complete",IF(W951&lt;0,"Overdue",IF(W951&lt;=U951*0.2,"At Risk","On Track")))</f>
        <v/>
      </c>
    </row>
    <row r="952">
      <c r="K952">
        <f>IF(J952="v4.0",L952,IF(J952="v3.1",M952,IF(J952="Both",L952,IF(AND(L952&lt;&gt;"",M952=""),L952,M952))))</f>
        <v/>
      </c>
      <c r="W952">
        <f>IF(V952&lt;&gt;"",NETWORKDAYS(TODAY(),V952),"")</f>
        <v/>
      </c>
      <c r="X952">
        <f>IF(AN952="Complete","Complete",IF(W952&lt;0,"Overdue",IF(W952&lt;=U952*0.2,"At Risk","On Track")))</f>
        <v/>
      </c>
    </row>
    <row r="953">
      <c r="K953">
        <f>IF(J953="v4.0",L953,IF(J953="v3.1",M953,IF(J953="Both",L953,IF(AND(L953&lt;&gt;"",M953=""),L953,M953))))</f>
        <v/>
      </c>
      <c r="W953">
        <f>IF(V953&lt;&gt;"",NETWORKDAYS(TODAY(),V953),"")</f>
        <v/>
      </c>
      <c r="X953">
        <f>IF(AN953="Complete","Complete",IF(W953&lt;0,"Overdue",IF(W953&lt;=U953*0.2,"At Risk","On Track")))</f>
        <v/>
      </c>
    </row>
    <row r="954">
      <c r="K954">
        <f>IF(J954="v4.0",L954,IF(J954="v3.1",M954,IF(J954="Both",L954,IF(AND(L954&lt;&gt;"",M954=""),L954,M954))))</f>
        <v/>
      </c>
      <c r="W954">
        <f>IF(V954&lt;&gt;"",NETWORKDAYS(TODAY(),V954),"")</f>
        <v/>
      </c>
      <c r="X954">
        <f>IF(AN954="Complete","Complete",IF(W954&lt;0,"Overdue",IF(W954&lt;=U954*0.2,"At Risk","On Track")))</f>
        <v/>
      </c>
    </row>
    <row r="955">
      <c r="K955">
        <f>IF(J955="v4.0",L955,IF(J955="v3.1",M955,IF(J955="Both",L955,IF(AND(L955&lt;&gt;"",M955=""),L955,M955))))</f>
        <v/>
      </c>
      <c r="W955">
        <f>IF(V955&lt;&gt;"",NETWORKDAYS(TODAY(),V955),"")</f>
        <v/>
      </c>
      <c r="X955">
        <f>IF(AN955="Complete","Complete",IF(W955&lt;0,"Overdue",IF(W955&lt;=U955*0.2,"At Risk","On Track")))</f>
        <v/>
      </c>
    </row>
    <row r="956">
      <c r="K956">
        <f>IF(J956="v4.0",L956,IF(J956="v3.1",M956,IF(J956="Both",L956,IF(AND(L956&lt;&gt;"",M956=""),L956,M956))))</f>
        <v/>
      </c>
      <c r="W956">
        <f>IF(V956&lt;&gt;"",NETWORKDAYS(TODAY(),V956),"")</f>
        <v/>
      </c>
      <c r="X956">
        <f>IF(AN956="Complete","Complete",IF(W956&lt;0,"Overdue",IF(W956&lt;=U956*0.2,"At Risk","On Track")))</f>
        <v/>
      </c>
    </row>
    <row r="957">
      <c r="K957">
        <f>IF(J957="v4.0",L957,IF(J957="v3.1",M957,IF(J957="Both",L957,IF(AND(L957&lt;&gt;"",M957=""),L957,M957))))</f>
        <v/>
      </c>
      <c r="W957">
        <f>IF(V957&lt;&gt;"",NETWORKDAYS(TODAY(),V957),"")</f>
        <v/>
      </c>
      <c r="X957">
        <f>IF(AN957="Complete","Complete",IF(W957&lt;0,"Overdue",IF(W957&lt;=U957*0.2,"At Risk","On Track")))</f>
        <v/>
      </c>
    </row>
    <row r="958">
      <c r="K958">
        <f>IF(J958="v4.0",L958,IF(J958="v3.1",M958,IF(J958="Both",L958,IF(AND(L958&lt;&gt;"",M958=""),L958,M958))))</f>
        <v/>
      </c>
      <c r="W958">
        <f>IF(V958&lt;&gt;"",NETWORKDAYS(TODAY(),V958),"")</f>
        <v/>
      </c>
      <c r="X958">
        <f>IF(AN958="Complete","Complete",IF(W958&lt;0,"Overdue",IF(W958&lt;=U958*0.2,"At Risk","On Track")))</f>
        <v/>
      </c>
    </row>
    <row r="959">
      <c r="K959">
        <f>IF(J959="v4.0",L959,IF(J959="v3.1",M959,IF(J959="Both",L959,IF(AND(L959&lt;&gt;"",M959=""),L959,M959))))</f>
        <v/>
      </c>
      <c r="W959">
        <f>IF(V959&lt;&gt;"",NETWORKDAYS(TODAY(),V959),"")</f>
        <v/>
      </c>
      <c r="X959">
        <f>IF(AN959="Complete","Complete",IF(W959&lt;0,"Overdue",IF(W959&lt;=U959*0.2,"At Risk","On Track")))</f>
        <v/>
      </c>
    </row>
    <row r="960">
      <c r="K960">
        <f>IF(J960="v4.0",L960,IF(J960="v3.1",M960,IF(J960="Both",L960,IF(AND(L960&lt;&gt;"",M960=""),L960,M960))))</f>
        <v/>
      </c>
      <c r="W960">
        <f>IF(V960&lt;&gt;"",NETWORKDAYS(TODAY(),V960),"")</f>
        <v/>
      </c>
      <c r="X960">
        <f>IF(AN960="Complete","Complete",IF(W960&lt;0,"Overdue",IF(W960&lt;=U960*0.2,"At Risk","On Track")))</f>
        <v/>
      </c>
    </row>
    <row r="961">
      <c r="K961">
        <f>IF(J961="v4.0",L961,IF(J961="v3.1",M961,IF(J961="Both",L961,IF(AND(L961&lt;&gt;"",M961=""),L961,M961))))</f>
        <v/>
      </c>
      <c r="W961">
        <f>IF(V961&lt;&gt;"",NETWORKDAYS(TODAY(),V961),"")</f>
        <v/>
      </c>
      <c r="X961">
        <f>IF(AN961="Complete","Complete",IF(W961&lt;0,"Overdue",IF(W961&lt;=U961*0.2,"At Risk","On Track")))</f>
        <v/>
      </c>
    </row>
    <row r="962">
      <c r="K962">
        <f>IF(J962="v4.0",L962,IF(J962="v3.1",M962,IF(J962="Both",L962,IF(AND(L962&lt;&gt;"",M962=""),L962,M962))))</f>
        <v/>
      </c>
      <c r="W962">
        <f>IF(V962&lt;&gt;"",NETWORKDAYS(TODAY(),V962),"")</f>
        <v/>
      </c>
      <c r="X962">
        <f>IF(AN962="Complete","Complete",IF(W962&lt;0,"Overdue",IF(W962&lt;=U962*0.2,"At Risk","On Track")))</f>
        <v/>
      </c>
    </row>
    <row r="963">
      <c r="K963">
        <f>IF(J963="v4.0",L963,IF(J963="v3.1",M963,IF(J963="Both",L963,IF(AND(L963&lt;&gt;"",M963=""),L963,M963))))</f>
        <v/>
      </c>
      <c r="W963">
        <f>IF(V963&lt;&gt;"",NETWORKDAYS(TODAY(),V963),"")</f>
        <v/>
      </c>
      <c r="X963">
        <f>IF(AN963="Complete","Complete",IF(W963&lt;0,"Overdue",IF(W963&lt;=U963*0.2,"At Risk","On Track")))</f>
        <v/>
      </c>
    </row>
    <row r="964">
      <c r="K964">
        <f>IF(J964="v4.0",L964,IF(J964="v3.1",M964,IF(J964="Both",L964,IF(AND(L964&lt;&gt;"",M964=""),L964,M964))))</f>
        <v/>
      </c>
      <c r="W964">
        <f>IF(V964&lt;&gt;"",NETWORKDAYS(TODAY(),V964),"")</f>
        <v/>
      </c>
      <c r="X964">
        <f>IF(AN964="Complete","Complete",IF(W964&lt;0,"Overdue",IF(W964&lt;=U964*0.2,"At Risk","On Track")))</f>
        <v/>
      </c>
    </row>
    <row r="965">
      <c r="K965">
        <f>IF(J965="v4.0",L965,IF(J965="v3.1",M965,IF(J965="Both",L965,IF(AND(L965&lt;&gt;"",M965=""),L965,M965))))</f>
        <v/>
      </c>
      <c r="W965">
        <f>IF(V965&lt;&gt;"",NETWORKDAYS(TODAY(),V965),"")</f>
        <v/>
      </c>
      <c r="X965">
        <f>IF(AN965="Complete","Complete",IF(W965&lt;0,"Overdue",IF(W965&lt;=U965*0.2,"At Risk","On Track")))</f>
        <v/>
      </c>
    </row>
    <row r="966">
      <c r="K966">
        <f>IF(J966="v4.0",L966,IF(J966="v3.1",M966,IF(J966="Both",L966,IF(AND(L966&lt;&gt;"",M966=""),L966,M966))))</f>
        <v/>
      </c>
      <c r="W966">
        <f>IF(V966&lt;&gt;"",NETWORKDAYS(TODAY(),V966),"")</f>
        <v/>
      </c>
      <c r="X966">
        <f>IF(AN966="Complete","Complete",IF(W966&lt;0,"Overdue",IF(W966&lt;=U966*0.2,"At Risk","On Track")))</f>
        <v/>
      </c>
    </row>
    <row r="967">
      <c r="K967">
        <f>IF(J967="v4.0",L967,IF(J967="v3.1",M967,IF(J967="Both",L967,IF(AND(L967&lt;&gt;"",M967=""),L967,M967))))</f>
        <v/>
      </c>
      <c r="W967">
        <f>IF(V967&lt;&gt;"",NETWORKDAYS(TODAY(),V967),"")</f>
        <v/>
      </c>
      <c r="X967">
        <f>IF(AN967="Complete","Complete",IF(W967&lt;0,"Overdue",IF(W967&lt;=U967*0.2,"At Risk","On Track")))</f>
        <v/>
      </c>
    </row>
    <row r="968">
      <c r="K968">
        <f>IF(J968="v4.0",L968,IF(J968="v3.1",M968,IF(J968="Both",L968,IF(AND(L968&lt;&gt;"",M968=""),L968,M968))))</f>
        <v/>
      </c>
      <c r="W968">
        <f>IF(V968&lt;&gt;"",NETWORKDAYS(TODAY(),V968),"")</f>
        <v/>
      </c>
      <c r="X968">
        <f>IF(AN968="Complete","Complete",IF(W968&lt;0,"Overdue",IF(W968&lt;=U968*0.2,"At Risk","On Track")))</f>
        <v/>
      </c>
    </row>
    <row r="969">
      <c r="K969">
        <f>IF(J969="v4.0",L969,IF(J969="v3.1",M969,IF(J969="Both",L969,IF(AND(L969&lt;&gt;"",M969=""),L969,M969))))</f>
        <v/>
      </c>
      <c r="W969">
        <f>IF(V969&lt;&gt;"",NETWORKDAYS(TODAY(),V969),"")</f>
        <v/>
      </c>
      <c r="X969">
        <f>IF(AN969="Complete","Complete",IF(W969&lt;0,"Overdue",IF(W969&lt;=U969*0.2,"At Risk","On Track")))</f>
        <v/>
      </c>
    </row>
    <row r="970">
      <c r="K970">
        <f>IF(J970="v4.0",L970,IF(J970="v3.1",M970,IF(J970="Both",L970,IF(AND(L970&lt;&gt;"",M970=""),L970,M970))))</f>
        <v/>
      </c>
      <c r="W970">
        <f>IF(V970&lt;&gt;"",NETWORKDAYS(TODAY(),V970),"")</f>
        <v/>
      </c>
      <c r="X970">
        <f>IF(AN970="Complete","Complete",IF(W970&lt;0,"Overdue",IF(W970&lt;=U970*0.2,"At Risk","On Track")))</f>
        <v/>
      </c>
    </row>
    <row r="971">
      <c r="K971">
        <f>IF(J971="v4.0",L971,IF(J971="v3.1",M971,IF(J971="Both",L971,IF(AND(L971&lt;&gt;"",M971=""),L971,M971))))</f>
        <v/>
      </c>
      <c r="W971">
        <f>IF(V971&lt;&gt;"",NETWORKDAYS(TODAY(),V971),"")</f>
        <v/>
      </c>
      <c r="X971">
        <f>IF(AN971="Complete","Complete",IF(W971&lt;0,"Overdue",IF(W971&lt;=U971*0.2,"At Risk","On Track")))</f>
        <v/>
      </c>
    </row>
    <row r="972">
      <c r="K972">
        <f>IF(J972="v4.0",L972,IF(J972="v3.1",M972,IF(J972="Both",L972,IF(AND(L972&lt;&gt;"",M972=""),L972,M972))))</f>
        <v/>
      </c>
      <c r="W972">
        <f>IF(V972&lt;&gt;"",NETWORKDAYS(TODAY(),V972),"")</f>
        <v/>
      </c>
      <c r="X972">
        <f>IF(AN972="Complete","Complete",IF(W972&lt;0,"Overdue",IF(W972&lt;=U972*0.2,"At Risk","On Track")))</f>
        <v/>
      </c>
    </row>
    <row r="973">
      <c r="K973">
        <f>IF(J973="v4.0",L973,IF(J973="v3.1",M973,IF(J973="Both",L973,IF(AND(L973&lt;&gt;"",M973=""),L973,M973))))</f>
        <v/>
      </c>
      <c r="W973">
        <f>IF(V973&lt;&gt;"",NETWORKDAYS(TODAY(),V973),"")</f>
        <v/>
      </c>
      <c r="X973">
        <f>IF(AN973="Complete","Complete",IF(W973&lt;0,"Overdue",IF(W973&lt;=U973*0.2,"At Risk","On Track")))</f>
        <v/>
      </c>
    </row>
    <row r="974">
      <c r="K974">
        <f>IF(J974="v4.0",L974,IF(J974="v3.1",M974,IF(J974="Both",L974,IF(AND(L974&lt;&gt;"",M974=""),L974,M974))))</f>
        <v/>
      </c>
      <c r="W974">
        <f>IF(V974&lt;&gt;"",NETWORKDAYS(TODAY(),V974),"")</f>
        <v/>
      </c>
      <c r="X974">
        <f>IF(AN974="Complete","Complete",IF(W974&lt;0,"Overdue",IF(W974&lt;=U974*0.2,"At Risk","On Track")))</f>
        <v/>
      </c>
    </row>
    <row r="975">
      <c r="K975">
        <f>IF(J975="v4.0",L975,IF(J975="v3.1",M975,IF(J975="Both",L975,IF(AND(L975&lt;&gt;"",M975=""),L975,M975))))</f>
        <v/>
      </c>
      <c r="W975">
        <f>IF(V975&lt;&gt;"",NETWORKDAYS(TODAY(),V975),"")</f>
        <v/>
      </c>
      <c r="X975">
        <f>IF(AN975="Complete","Complete",IF(W975&lt;0,"Overdue",IF(W975&lt;=U975*0.2,"At Risk","On Track")))</f>
        <v/>
      </c>
    </row>
    <row r="976">
      <c r="K976">
        <f>IF(J976="v4.0",L976,IF(J976="v3.1",M976,IF(J976="Both",L976,IF(AND(L976&lt;&gt;"",M976=""),L976,M976))))</f>
        <v/>
      </c>
      <c r="W976">
        <f>IF(V976&lt;&gt;"",NETWORKDAYS(TODAY(),V976),"")</f>
        <v/>
      </c>
      <c r="X976">
        <f>IF(AN976="Complete","Complete",IF(W976&lt;0,"Overdue",IF(W976&lt;=U976*0.2,"At Risk","On Track")))</f>
        <v/>
      </c>
    </row>
    <row r="977">
      <c r="K977">
        <f>IF(J977="v4.0",L977,IF(J977="v3.1",M977,IF(J977="Both",L977,IF(AND(L977&lt;&gt;"",M977=""),L977,M977))))</f>
        <v/>
      </c>
      <c r="W977">
        <f>IF(V977&lt;&gt;"",NETWORKDAYS(TODAY(),V977),"")</f>
        <v/>
      </c>
      <c r="X977">
        <f>IF(AN977="Complete","Complete",IF(W977&lt;0,"Overdue",IF(W977&lt;=U977*0.2,"At Risk","On Track")))</f>
        <v/>
      </c>
    </row>
    <row r="978">
      <c r="K978">
        <f>IF(J978="v4.0",L978,IF(J978="v3.1",M978,IF(J978="Both",L978,IF(AND(L978&lt;&gt;"",M978=""),L978,M978))))</f>
        <v/>
      </c>
      <c r="W978">
        <f>IF(V978&lt;&gt;"",NETWORKDAYS(TODAY(),V978),"")</f>
        <v/>
      </c>
      <c r="X978">
        <f>IF(AN978="Complete","Complete",IF(W978&lt;0,"Overdue",IF(W978&lt;=U978*0.2,"At Risk","On Track")))</f>
        <v/>
      </c>
    </row>
    <row r="979">
      <c r="K979">
        <f>IF(J979="v4.0",L979,IF(J979="v3.1",M979,IF(J979="Both",L979,IF(AND(L979&lt;&gt;"",M979=""),L979,M979))))</f>
        <v/>
      </c>
      <c r="W979">
        <f>IF(V979&lt;&gt;"",NETWORKDAYS(TODAY(),V979),"")</f>
        <v/>
      </c>
      <c r="X979">
        <f>IF(AN979="Complete","Complete",IF(W979&lt;0,"Overdue",IF(W979&lt;=U979*0.2,"At Risk","On Track")))</f>
        <v/>
      </c>
    </row>
    <row r="980">
      <c r="K980">
        <f>IF(J980="v4.0",L980,IF(J980="v3.1",M980,IF(J980="Both",L980,IF(AND(L980&lt;&gt;"",M980=""),L980,M980))))</f>
        <v/>
      </c>
      <c r="W980">
        <f>IF(V980&lt;&gt;"",NETWORKDAYS(TODAY(),V980),"")</f>
        <v/>
      </c>
      <c r="X980">
        <f>IF(AN980="Complete","Complete",IF(W980&lt;0,"Overdue",IF(W980&lt;=U980*0.2,"At Risk","On Track")))</f>
        <v/>
      </c>
    </row>
    <row r="981">
      <c r="K981">
        <f>IF(J981="v4.0",L981,IF(J981="v3.1",M981,IF(J981="Both",L981,IF(AND(L981&lt;&gt;"",M981=""),L981,M981))))</f>
        <v/>
      </c>
      <c r="W981">
        <f>IF(V981&lt;&gt;"",NETWORKDAYS(TODAY(),V981),"")</f>
        <v/>
      </c>
      <c r="X981">
        <f>IF(AN981="Complete","Complete",IF(W981&lt;0,"Overdue",IF(W981&lt;=U981*0.2,"At Risk","On Track")))</f>
        <v/>
      </c>
    </row>
    <row r="982">
      <c r="K982">
        <f>IF(J982="v4.0",L982,IF(J982="v3.1",M982,IF(J982="Both",L982,IF(AND(L982&lt;&gt;"",M982=""),L982,M982))))</f>
        <v/>
      </c>
      <c r="W982">
        <f>IF(V982&lt;&gt;"",NETWORKDAYS(TODAY(),V982),"")</f>
        <v/>
      </c>
      <c r="X982">
        <f>IF(AN982="Complete","Complete",IF(W982&lt;0,"Overdue",IF(W982&lt;=U982*0.2,"At Risk","On Track")))</f>
        <v/>
      </c>
    </row>
    <row r="983">
      <c r="K983">
        <f>IF(J983="v4.0",L983,IF(J983="v3.1",M983,IF(J983="Both",L983,IF(AND(L983&lt;&gt;"",M983=""),L983,M983))))</f>
        <v/>
      </c>
      <c r="W983">
        <f>IF(V983&lt;&gt;"",NETWORKDAYS(TODAY(),V983),"")</f>
        <v/>
      </c>
      <c r="X983">
        <f>IF(AN983="Complete","Complete",IF(W983&lt;0,"Overdue",IF(W983&lt;=U983*0.2,"At Risk","On Track")))</f>
        <v/>
      </c>
    </row>
    <row r="984">
      <c r="K984">
        <f>IF(J984="v4.0",L984,IF(J984="v3.1",M984,IF(J984="Both",L984,IF(AND(L984&lt;&gt;"",M984=""),L984,M984))))</f>
        <v/>
      </c>
      <c r="W984">
        <f>IF(V984&lt;&gt;"",NETWORKDAYS(TODAY(),V984),"")</f>
        <v/>
      </c>
      <c r="X984">
        <f>IF(AN984="Complete","Complete",IF(W984&lt;0,"Overdue",IF(W984&lt;=U984*0.2,"At Risk","On Track")))</f>
        <v/>
      </c>
    </row>
    <row r="985">
      <c r="K985">
        <f>IF(J985="v4.0",L985,IF(J985="v3.1",M985,IF(J985="Both",L985,IF(AND(L985&lt;&gt;"",M985=""),L985,M985))))</f>
        <v/>
      </c>
      <c r="W985">
        <f>IF(V985&lt;&gt;"",NETWORKDAYS(TODAY(),V985),"")</f>
        <v/>
      </c>
      <c r="X985">
        <f>IF(AN985="Complete","Complete",IF(W985&lt;0,"Overdue",IF(W985&lt;=U985*0.2,"At Risk","On Track")))</f>
        <v/>
      </c>
    </row>
    <row r="986">
      <c r="K986">
        <f>IF(J986="v4.0",L986,IF(J986="v3.1",M986,IF(J986="Both",L986,IF(AND(L986&lt;&gt;"",M986=""),L986,M986))))</f>
        <v/>
      </c>
      <c r="W986">
        <f>IF(V986&lt;&gt;"",NETWORKDAYS(TODAY(),V986),"")</f>
        <v/>
      </c>
      <c r="X986">
        <f>IF(AN986="Complete","Complete",IF(W986&lt;0,"Overdue",IF(W986&lt;=U986*0.2,"At Risk","On Track")))</f>
        <v/>
      </c>
    </row>
    <row r="987">
      <c r="K987">
        <f>IF(J987="v4.0",L987,IF(J987="v3.1",M987,IF(J987="Both",L987,IF(AND(L987&lt;&gt;"",M987=""),L987,M987))))</f>
        <v/>
      </c>
      <c r="W987">
        <f>IF(V987&lt;&gt;"",NETWORKDAYS(TODAY(),V987),"")</f>
        <v/>
      </c>
      <c r="X987">
        <f>IF(AN987="Complete","Complete",IF(W987&lt;0,"Overdue",IF(W987&lt;=U987*0.2,"At Risk","On Track")))</f>
        <v/>
      </c>
    </row>
    <row r="988">
      <c r="K988">
        <f>IF(J988="v4.0",L988,IF(J988="v3.1",M988,IF(J988="Both",L988,IF(AND(L988&lt;&gt;"",M988=""),L988,M988))))</f>
        <v/>
      </c>
      <c r="W988">
        <f>IF(V988&lt;&gt;"",NETWORKDAYS(TODAY(),V988),"")</f>
        <v/>
      </c>
      <c r="X988">
        <f>IF(AN988="Complete","Complete",IF(W988&lt;0,"Overdue",IF(W988&lt;=U988*0.2,"At Risk","On Track")))</f>
        <v/>
      </c>
    </row>
    <row r="989">
      <c r="K989">
        <f>IF(J989="v4.0",L989,IF(J989="v3.1",M989,IF(J989="Both",L989,IF(AND(L989&lt;&gt;"",M989=""),L989,M989))))</f>
        <v/>
      </c>
      <c r="W989">
        <f>IF(V989&lt;&gt;"",NETWORKDAYS(TODAY(),V989),"")</f>
        <v/>
      </c>
      <c r="X989">
        <f>IF(AN989="Complete","Complete",IF(W989&lt;0,"Overdue",IF(W989&lt;=U989*0.2,"At Risk","On Track")))</f>
        <v/>
      </c>
    </row>
    <row r="990">
      <c r="K990">
        <f>IF(J990="v4.0",L990,IF(J990="v3.1",M990,IF(J990="Both",L990,IF(AND(L990&lt;&gt;"",M990=""),L990,M990))))</f>
        <v/>
      </c>
      <c r="W990">
        <f>IF(V990&lt;&gt;"",NETWORKDAYS(TODAY(),V990),"")</f>
        <v/>
      </c>
      <c r="X990">
        <f>IF(AN990="Complete","Complete",IF(W990&lt;0,"Overdue",IF(W990&lt;=U990*0.2,"At Risk","On Track")))</f>
        <v/>
      </c>
    </row>
    <row r="991">
      <c r="K991">
        <f>IF(J991="v4.0",L991,IF(J991="v3.1",M991,IF(J991="Both",L991,IF(AND(L991&lt;&gt;"",M991=""),L991,M991))))</f>
        <v/>
      </c>
      <c r="W991">
        <f>IF(V991&lt;&gt;"",NETWORKDAYS(TODAY(),V991),"")</f>
        <v/>
      </c>
      <c r="X991">
        <f>IF(AN991="Complete","Complete",IF(W991&lt;0,"Overdue",IF(W991&lt;=U991*0.2,"At Risk","On Track")))</f>
        <v/>
      </c>
    </row>
    <row r="992">
      <c r="K992">
        <f>IF(J992="v4.0",L992,IF(J992="v3.1",M992,IF(J992="Both",L992,IF(AND(L992&lt;&gt;"",M992=""),L992,M992))))</f>
        <v/>
      </c>
      <c r="W992">
        <f>IF(V992&lt;&gt;"",NETWORKDAYS(TODAY(),V992),"")</f>
        <v/>
      </c>
      <c r="X992">
        <f>IF(AN992="Complete","Complete",IF(W992&lt;0,"Overdue",IF(W992&lt;=U992*0.2,"At Risk","On Track")))</f>
        <v/>
      </c>
    </row>
    <row r="993">
      <c r="K993">
        <f>IF(J993="v4.0",L993,IF(J993="v3.1",M993,IF(J993="Both",L993,IF(AND(L993&lt;&gt;"",M993=""),L993,M993))))</f>
        <v/>
      </c>
      <c r="W993">
        <f>IF(V993&lt;&gt;"",NETWORKDAYS(TODAY(),V993),"")</f>
        <v/>
      </c>
      <c r="X993">
        <f>IF(AN993="Complete","Complete",IF(W993&lt;0,"Overdue",IF(W993&lt;=U993*0.2,"At Risk","On Track")))</f>
        <v/>
      </c>
    </row>
    <row r="994">
      <c r="K994">
        <f>IF(J994="v4.0",L994,IF(J994="v3.1",M994,IF(J994="Both",L994,IF(AND(L994&lt;&gt;"",M994=""),L994,M994))))</f>
        <v/>
      </c>
      <c r="W994">
        <f>IF(V994&lt;&gt;"",NETWORKDAYS(TODAY(),V994),"")</f>
        <v/>
      </c>
      <c r="X994">
        <f>IF(AN994="Complete","Complete",IF(W994&lt;0,"Overdue",IF(W994&lt;=U994*0.2,"At Risk","On Track")))</f>
        <v/>
      </c>
    </row>
    <row r="995">
      <c r="K995">
        <f>IF(J995="v4.0",L995,IF(J995="v3.1",M995,IF(J995="Both",L995,IF(AND(L995&lt;&gt;"",M995=""),L995,M995))))</f>
        <v/>
      </c>
      <c r="W995">
        <f>IF(V995&lt;&gt;"",NETWORKDAYS(TODAY(),V995),"")</f>
        <v/>
      </c>
      <c r="X995">
        <f>IF(AN995="Complete","Complete",IF(W995&lt;0,"Overdue",IF(W995&lt;=U995*0.2,"At Risk","On Track")))</f>
        <v/>
      </c>
    </row>
    <row r="996">
      <c r="K996">
        <f>IF(J996="v4.0",L996,IF(J996="v3.1",M996,IF(J996="Both",L996,IF(AND(L996&lt;&gt;"",M996=""),L996,M996))))</f>
        <v/>
      </c>
      <c r="W996">
        <f>IF(V996&lt;&gt;"",NETWORKDAYS(TODAY(),V996),"")</f>
        <v/>
      </c>
      <c r="X996">
        <f>IF(AN996="Complete","Complete",IF(W996&lt;0,"Overdue",IF(W996&lt;=U996*0.2,"At Risk","On Track")))</f>
        <v/>
      </c>
    </row>
    <row r="997">
      <c r="K997">
        <f>IF(J997="v4.0",L997,IF(J997="v3.1",M997,IF(J997="Both",L997,IF(AND(L997&lt;&gt;"",M997=""),L997,M997))))</f>
        <v/>
      </c>
      <c r="W997">
        <f>IF(V997&lt;&gt;"",NETWORKDAYS(TODAY(),V997),"")</f>
        <v/>
      </c>
      <c r="X997">
        <f>IF(AN997="Complete","Complete",IF(W997&lt;0,"Overdue",IF(W997&lt;=U997*0.2,"At Risk","On Track")))</f>
        <v/>
      </c>
    </row>
    <row r="998">
      <c r="K998">
        <f>IF(J998="v4.0",L998,IF(J998="v3.1",M998,IF(J998="Both",L998,IF(AND(L998&lt;&gt;"",M998=""),L998,M998))))</f>
        <v/>
      </c>
      <c r="W998">
        <f>IF(V998&lt;&gt;"",NETWORKDAYS(TODAY(),V998),"")</f>
        <v/>
      </c>
      <c r="X998">
        <f>IF(AN998="Complete","Complete",IF(W998&lt;0,"Overdue",IF(W998&lt;=U998*0.2,"At Risk","On Track")))</f>
        <v/>
      </c>
    </row>
    <row r="999">
      <c r="K999">
        <f>IF(J999="v4.0",L999,IF(J999="v3.1",M999,IF(J999="Both",L999,IF(AND(L999&lt;&gt;"",M999=""),L999,M999))))</f>
        <v/>
      </c>
      <c r="W999">
        <f>IF(V999&lt;&gt;"",NETWORKDAYS(TODAY(),V999),"")</f>
        <v/>
      </c>
      <c r="X999">
        <f>IF(AN999="Complete","Complete",IF(W999&lt;0,"Overdue",IF(W999&lt;=U999*0.2,"At Risk","On Track")))</f>
        <v/>
      </c>
    </row>
    <row r="1000">
      <c r="K1000">
        <f>IF(J1000="v4.0",L1000,IF(J1000="v3.1",M1000,IF(J1000="Both",L1000,IF(AND(L1000&lt;&gt;"",M1000=""),L1000,M1000))))</f>
        <v/>
      </c>
      <c r="W1000">
        <f>IF(V1000&lt;&gt;"",NETWORKDAYS(TODAY(),V1000),"")</f>
        <v/>
      </c>
      <c r="X1000">
        <f>IF(AN1000="Complete","Complete",IF(W1000&lt;0,"Overdue",IF(W1000&lt;=U1000*0.2,"At Risk","On Track")))</f>
        <v/>
      </c>
    </row>
  </sheetData>
  <conditionalFormatting sqref="A2:AP1000">
    <cfRule type="expression" priority="1" dxfId="0">
      <formula>$T2="P0"</formula>
    </cfRule>
    <cfRule type="expression" priority="3" dxfId="1">
      <formula>AND($Q2="P",$K2&gt;=7.0)</formula>
    </cfRule>
    <cfRule type="expression" priority="4" dxfId="2">
      <formula>$X2="Overdue"</formula>
    </cfRule>
    <cfRule type="expression" priority="6" dxfId="3">
      <formula>$AN2="Failed"</formula>
    </cfRule>
    <cfRule type="expression" priority="7" dxfId="4">
      <formula>$AN2="Rolled Back"</formula>
    </cfRule>
  </conditionalFormatting>
  <conditionalFormatting sqref="P2:P1000">
    <cfRule type="cellIs" priority="2" operator="equal" dxfId="5">
      <formula>"Y"</formula>
    </cfRule>
  </conditionalFormatting>
  <conditionalFormatting sqref="X2:X1000">
    <cfRule type="cellIs" priority="5" operator="equal" dxfId="6">
      <formula>"At Risk"</formula>
    </cfRule>
  </conditionalFormatting>
  <conditionalFormatting sqref="AH2:AH1000">
    <cfRule type="cellIs" priority="8" operator="equal" dxfId="7">
      <formula>"Pending"</formula>
    </cfRule>
  </conditionalFormatting>
  <conditionalFormatting sqref="AP2:AP1000">
    <cfRule type="cellIs" priority="9" operator="equal" dxfId="8">
      <formula>"Failed"</formula>
    </cfRule>
  </conditionalFormatting>
  <dataValidations count="16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I2:I1000" showDropDown="0" showInputMessage="0" showErrorMessage="0" allowBlank="0" type="list">
      <formula1>"Nessus,Qualys,OpenVAS,Manual Assessment,Vendor Advisory,Penetration Test,Other"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Y2:Y1000" showDropDown="0" showInputMessage="0" showErrorMessage="0" allowBlank="0" type="list">
      <formula1>"Patch,Configuration Change,Software Upgrade,Firmware Update,Workaround,Compensating Control"</formula1>
    </dataValidation>
    <dataValidation sqref="AD2:AD1000" showDropDown="0" showInputMessage="0" showErrorMessage="0" allowBlank="0" type="list">
      <formula1>"Y,N,Pending,N/A"</formula1>
    </dataValidation>
    <dataValidation sqref="AG2:AG1000" showDropDown="0" showInputMessage="0" showErrorMessage="0" allowBlank="0" type="list">
      <formula1>"Standard,Normal,Emergency"</formula1>
    </dataValidation>
    <dataValidation sqref="AH2:AH1000" showDropDown="0" showInputMessage="0" showErrorMessage="0" allowBlank="0" type="list">
      <formula1>"Pending,Approved,Rejected,Not Required"</formula1>
    </dataValidation>
    <dataValidation sqref="AK2:AK1000" showDropDown="0" showInputMessage="0" showErrorMessage="0" allowBlank="0" type="list">
      <formula1>"MW1: Wed 22:00-02:00,MW2: Sat 20:00-06:00,MW3: Sun 02:00-08:00,Emergency: Immediate,Scheduled: Custom"</formula1>
    </dataValidation>
    <dataValidation sqref="AN2:AN1000" showDropDown="0" showInputMessage="0" showErrorMessage="0" allowBlank="0" type="list">
      <formula1>"Scheduled,In Progress,Complete,Failed,Rolled Back,Cancelled"</formula1>
    </dataValidation>
    <dataValidation sqref="AP2:AP1000" showDropDown="0" showInputMessage="0" showErrorMessage="0" allowBlank="0" type="list">
      <formula1>"Pending,Passed,Failed,Not Required"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  <col width="50" customWidth="1" min="15" max="15"/>
  </cols>
  <sheetData>
    <row r="1">
      <c r="A1" s="4" t="inlineStr">
        <is>
          <t>Window_ID</t>
        </is>
      </c>
      <c r="B1" s="4" t="inlineStr">
        <is>
          <t>Window_Name</t>
        </is>
      </c>
      <c r="C1" s="4" t="inlineStr">
        <is>
          <t>Schedule</t>
        </is>
      </c>
      <c r="D1" s="4" t="inlineStr">
        <is>
          <t>Window_Date</t>
        </is>
      </c>
      <c r="E1" s="4" t="inlineStr">
        <is>
          <t>Status</t>
        </is>
      </c>
      <c r="F1" s="4" t="inlineStr">
        <is>
          <t>Total_Patches</t>
        </is>
      </c>
      <c r="G1" s="4" t="inlineStr">
        <is>
          <t>P0_Count</t>
        </is>
      </c>
      <c r="H1" s="4" t="inlineStr">
        <is>
          <t>P1_Count</t>
        </is>
      </c>
      <c r="I1" s="4" t="inlineStr">
        <is>
          <t>P2_Count</t>
        </is>
      </c>
      <c r="J1" s="4" t="inlineStr">
        <is>
          <t>Assigned_Team</t>
        </is>
      </c>
      <c r="K1" s="4" t="inlineStr">
        <is>
          <t>Backup_Team</t>
        </is>
      </c>
      <c r="L1" s="4" t="inlineStr">
        <is>
          <t>CAB_Approval</t>
        </is>
      </c>
      <c r="M1" s="4" t="inlineStr">
        <is>
          <t>Rollback_Plan</t>
        </is>
      </c>
      <c r="N1" s="4" t="inlineStr">
        <is>
          <t>Communication_Sent</t>
        </is>
      </c>
      <c r="O1" s="4" t="inlineStr">
        <is>
          <t>Notes</t>
        </is>
      </c>
    </row>
    <row r="2">
      <c r="A2" t="inlineStr">
        <is>
          <t>MW1-2026-01-15</t>
        </is>
      </c>
      <c r="B2" t="inlineStr">
        <is>
          <t>MW1: Wednesday</t>
        </is>
      </c>
      <c r="C2" t="inlineStr">
        <is>
          <t>Wed 22:00-02:00</t>
        </is>
      </c>
      <c r="D2" s="5" t="n">
        <v>46037</v>
      </c>
      <c r="E2" t="inlineStr">
        <is>
          <t>Scheduled</t>
        </is>
      </c>
      <c r="F2">
        <f>COUNTIF(Remediation_Queue!$AK:$AK,A2)</f>
        <v/>
      </c>
      <c r="G2">
        <f>COUNTIFS(Remediation_Queue!$AK:$AK,A2,Remediation_Queue!$T:$T,"P0")</f>
        <v/>
      </c>
      <c r="H2">
        <f>COUNTIFS(Remediation_Queue!$AK:$AK,A2,Remediation_Queue!$T:$T,"P1")</f>
        <v/>
      </c>
      <c r="I2">
        <f>COUNTIFS(Remediation_Queue!$AK:$AK,A2,Remediation_Queue!$T:$T,"P2")</f>
        <v/>
      </c>
      <c r="J2" t="inlineStr">
        <is>
          <t>Infrastructure Team</t>
        </is>
      </c>
      <c r="K2" t="inlineStr">
        <is>
          <t>Security Team</t>
        </is>
      </c>
      <c r="L2" t="inlineStr">
        <is>
          <t>Approved</t>
        </is>
      </c>
      <c r="M2" t="inlineStr">
        <is>
          <t>Y</t>
        </is>
      </c>
      <c r="N2" t="inlineStr">
        <is>
          <t>Y</t>
        </is>
      </c>
      <c r="O2" t="inlineStr">
        <is>
          <t>Production infrastructure patches</t>
        </is>
      </c>
    </row>
    <row r="3">
      <c r="A3" t="inlineStr">
        <is>
          <t>MW2-2026-01-11</t>
        </is>
      </c>
      <c r="B3" t="inlineStr">
        <is>
          <t>MW2: Saturday</t>
        </is>
      </c>
      <c r="C3" t="inlineStr">
        <is>
          <t>Sat 20:00-06:00</t>
        </is>
      </c>
      <c r="D3" s="5" t="n">
        <v>46033</v>
      </c>
      <c r="E3" t="inlineStr">
        <is>
          <t>Complete</t>
        </is>
      </c>
      <c r="F3" t="n">
        <v>50</v>
      </c>
      <c r="G3" t="n">
        <v>0</v>
      </c>
      <c r="H3" t="n">
        <v>5</v>
      </c>
      <c r="I3" t="n">
        <v>20</v>
      </c>
      <c r="J3" t="inlineStr">
        <is>
          <t>All Teams</t>
        </is>
      </c>
      <c r="K3" t="inlineStr">
        <is>
          <t>N/A</t>
        </is>
      </c>
      <c r="L3" t="inlineStr">
        <is>
          <t>Approved</t>
        </is>
      </c>
      <c r="M3" t="inlineStr">
        <is>
          <t>Y</t>
        </is>
      </c>
      <c r="N3" t="inlineStr">
        <is>
          <t>Y</t>
        </is>
      </c>
      <c r="O3" t="inlineStr">
        <is>
          <t>Major deployment - completed successfully</t>
        </is>
      </c>
    </row>
    <row r="4">
      <c r="A4" t="inlineStr">
        <is>
          <t>EMG-2026-01-06</t>
        </is>
      </c>
      <c r="B4" t="inlineStr">
        <is>
          <t>Emergency</t>
        </is>
      </c>
      <c r="C4" t="inlineStr">
        <is>
          <t>Immediate</t>
        </is>
      </c>
      <c r="D4" s="5" t="n">
        <v>46028</v>
      </c>
      <c r="E4" t="inlineStr">
        <is>
          <t>Complete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Security Team</t>
        </is>
      </c>
      <c r="K4" t="inlineStr">
        <is>
          <t>Infrastructure Team</t>
        </is>
      </c>
      <c r="L4" t="inlineStr">
        <is>
          <t>CISO Approved</t>
        </is>
      </c>
      <c r="M4" t="inlineStr">
        <is>
          <t>Y</t>
        </is>
      </c>
      <c r="N4" t="inlineStr">
        <is>
          <t>Y</t>
        </is>
      </c>
      <c r="O4" t="inlineStr">
        <is>
          <t>P0 wormable vulnerability</t>
        </is>
      </c>
    </row>
  </sheetData>
  <dataValidations count="3">
    <dataValidation sqref="E2:E1000" showDropDown="0" showInputMessage="0" showErrorMessage="0" allowBlank="0" type="list">
      <formula1>"Scheduled,In Progress,Complete,Cancelled"</formula1>
    </dataValidation>
    <dataValidation sqref="L2:L1000" showDropDown="0" showInputMessage="0" showErrorMessage="0" allowBlank="0" type="list">
      <formula1>"Approved,Pending,N/A"</formula1>
    </dataValidation>
    <dataValidation sqref="M2:M1000 N2:N10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0" customWidth="1" min="4" max="4"/>
    <col width="16" customWidth="1" min="5" max="5"/>
    <col width="16" customWidth="1" min="6" max="6"/>
    <col width="14" customWidth="1" min="7" max="7"/>
    <col width="20" customWidth="1" min="8" max="8"/>
    <col width="50" customWidth="1" min="9" max="9"/>
    <col width="16" customWidth="1" min="10" max="10"/>
    <col width="14" customWidth="1" min="11" max="11"/>
    <col width="60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>
      <c r="A1" s="4" t="inlineStr">
        <is>
          <t>Change_Request_ID</t>
        </is>
      </c>
      <c r="B1" s="4" t="inlineStr">
        <is>
          <t>Vuln_ID</t>
        </is>
      </c>
      <c r="C1" s="4" t="inlineStr">
        <is>
          <t>Submission_Date</t>
        </is>
      </c>
      <c r="D1" s="4" t="inlineStr">
        <is>
          <t>Requester</t>
        </is>
      </c>
      <c r="E1" s="4" t="inlineStr">
        <is>
          <t>Change_Type</t>
        </is>
      </c>
      <c r="F1" s="4" t="inlineStr">
        <is>
          <t>Approval_Status</t>
        </is>
      </c>
      <c r="G1" s="4" t="inlineStr">
        <is>
          <t>CAB_Review_Date</t>
        </is>
      </c>
      <c r="H1" s="4" t="inlineStr">
        <is>
          <t>Approved_By</t>
        </is>
      </c>
      <c r="I1" s="4" t="inlineStr">
        <is>
          <t>Approval_Notes</t>
        </is>
      </c>
      <c r="J1" s="4" t="inlineStr">
        <is>
          <t>Implementation_Date</t>
        </is>
      </c>
      <c r="K1" s="4" t="inlineStr">
        <is>
          <t>Risk_Level</t>
        </is>
      </c>
      <c r="L1" s="4" t="inlineStr">
        <is>
          <t>Impact_Assessment</t>
        </is>
      </c>
      <c r="M1" s="4" t="inlineStr">
        <is>
          <t>Rollback_Required</t>
        </is>
      </c>
      <c r="N1" s="4" t="inlineStr">
        <is>
          <t>Testing_Complete</t>
        </is>
      </c>
      <c r="O1" s="4" t="inlineStr">
        <is>
          <t>Documentation_Attached</t>
        </is>
      </c>
      <c r="P1" s="4" t="inlineStr">
        <is>
          <t>Status</t>
        </is>
      </c>
    </row>
    <row r="2">
      <c r="A2" t="inlineStr">
        <is>
          <t>CR-2026-0123</t>
        </is>
      </c>
      <c r="B2" t="inlineStr">
        <is>
          <t>VULN-2026-002</t>
        </is>
      </c>
      <c r="C2" s="5" t="n">
        <v>46030</v>
      </c>
      <c r="D2" t="inlineStr">
        <is>
          <t>Security Engineer</t>
        </is>
      </c>
      <c r="E2" t="inlineStr">
        <is>
          <t>Normal</t>
        </is>
      </c>
      <c r="F2" t="inlineStr">
        <is>
          <t>Pending</t>
        </is>
      </c>
      <c r="G2" s="5" t="n">
        <v>46035</v>
      </c>
      <c r="H2" t="inlineStr"/>
      <c r="I2" t="inlineStr"/>
      <c r="J2" s="5" t="n">
        <v>46037</v>
      </c>
      <c r="K2" t="inlineStr">
        <is>
          <t>Medium</t>
        </is>
      </c>
      <c r="L2" t="inlineStr">
        <is>
          <t>Web application configuration change - minimal user impact</t>
        </is>
      </c>
      <c r="M2" t="inlineStr">
        <is>
          <t>Y</t>
        </is>
      </c>
      <c r="N2" t="inlineStr">
        <is>
          <t>Pending</t>
        </is>
      </c>
      <c r="O2" t="inlineStr">
        <is>
          <t>Y</t>
        </is>
      </c>
      <c r="P2" t="inlineStr">
        <is>
          <t>Submitted</t>
        </is>
      </c>
    </row>
    <row r="3">
      <c r="A3" t="inlineStr">
        <is>
          <t>CR-2026-EMG-001</t>
        </is>
      </c>
      <c r="B3" t="inlineStr">
        <is>
          <t>VULN-2026-001</t>
        </is>
      </c>
      <c r="C3" s="5" t="n">
        <v>46027</v>
      </c>
      <c r="D3" t="inlineStr">
        <is>
          <t>Security Engineer</t>
        </is>
      </c>
      <c r="E3" t="inlineStr">
        <is>
          <t>Emergency</t>
        </is>
      </c>
      <c r="F3" t="inlineStr">
        <is>
          <t>Approved</t>
        </is>
      </c>
      <c r="G3" s="5" t="n">
        <v>46027</v>
      </c>
      <c r="H3" t="inlineStr">
        <is>
          <t>CISO</t>
        </is>
      </c>
      <c r="I3" t="inlineStr">
        <is>
          <t>Emergency approval - wormable vulnerability</t>
        </is>
      </c>
      <c r="J3" s="5" t="n">
        <v>46028</v>
      </c>
      <c r="K3" t="inlineStr">
        <is>
          <t>Critical</t>
        </is>
      </c>
      <c r="L3" t="inlineStr">
        <is>
          <t>Production servers - potential for exploitation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Implemented</t>
        </is>
      </c>
    </row>
  </sheetData>
  <dataValidations count="5">
    <dataValidation sqref="E2:E1000" showDropDown="0" showInputMessage="0" showErrorMessage="0" allowBlank="0" type="list">
      <formula1>"Standard,Normal,Emergency"</formula1>
    </dataValidation>
    <dataValidation sqref="F2:F1000" showDropDown="0" showInputMessage="0" showErrorMessage="0" allowBlank="0" type="list">
      <formula1>"Pending,Approved,Rejected"</formula1>
    </dataValidation>
    <dataValidation sqref="K2:K1000" showDropDown="0" showInputMessage="0" showErrorMessage="0" allowBlank="0" type="list">
      <formula1>"Low,Medium,High,Critical"</formula1>
    </dataValidation>
    <dataValidation sqref="M2:M1000 N2:N1000 O2:O1000" showDropDown="0" showInputMessage="0" showErrorMessage="0" allowBlank="0" type="list">
      <formula1>"Y,N,Pending,N/A"</formula1>
    </dataValidation>
    <dataValidation sqref="P2:P1000" showDropDown="0" showInputMessage="0" showErrorMessage="0" allowBlank="0" type="list">
      <formula1>"Draft,Submitted,Approved,Rejected,Implemented,Closed"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12" customWidth="1" min="5" max="5"/>
    <col width="20" customWidth="1" min="6" max="6"/>
    <col width="16" customWidth="1" min="7" max="7"/>
    <col width="40" customWidth="1" min="8" max="8"/>
    <col width="20" customWidth="1" min="9" max="9"/>
    <col width="20" customWidth="1" min="10" max="10"/>
    <col width="20" customWidth="1" min="11" max="11"/>
    <col width="12" customWidth="1" min="12" max="12"/>
    <col width="40" customWidth="1" min="13" max="13"/>
    <col width="50" customWidth="1" min="14" max="14"/>
    <col width="14" customWidth="1" min="15" max="15"/>
    <col width="14" customWidth="1" min="16" max="16"/>
    <col width="50" customWidth="1" min="17" max="17"/>
    <col width="16" customWidth="1" min="18" max="18"/>
    <col width="14" customWidth="1" min="19" max="19"/>
  </cols>
  <sheetData>
    <row r="1">
      <c r="A1" s="4" t="inlineStr">
        <is>
          <t>Patch_ID</t>
        </is>
      </c>
      <c r="B1" s="4" t="inlineStr">
        <is>
          <t>Product</t>
        </is>
      </c>
      <c r="C1" s="4" t="inlineStr">
        <is>
          <t>Current_Version</t>
        </is>
      </c>
      <c r="D1" s="4" t="inlineStr">
        <is>
          <t>Patch_Version</t>
        </is>
      </c>
      <c r="E1" s="4" t="inlineStr">
        <is>
          <t>Release_Date</t>
        </is>
      </c>
      <c r="F1" s="4" t="inlineStr">
        <is>
          <t>Vendor</t>
        </is>
      </c>
      <c r="G1" s="4" t="inlineStr">
        <is>
          <t>Patch_Type</t>
        </is>
      </c>
      <c r="H1" s="4" t="inlineStr">
        <is>
          <t>CVE_IDs</t>
        </is>
      </c>
      <c r="I1" s="4" t="inlineStr">
        <is>
          <t>KB_Article</t>
        </is>
      </c>
      <c r="J1" s="4" t="inlineStr">
        <is>
          <t>Download_URL</t>
        </is>
      </c>
      <c r="K1" s="4" t="inlineStr">
        <is>
          <t>File_Hash_SHA256</t>
        </is>
      </c>
      <c r="L1" s="4" t="inlineStr">
        <is>
          <t>File_Size_MB</t>
        </is>
      </c>
      <c r="M1" s="4" t="inlineStr">
        <is>
          <t>Prerequisites</t>
        </is>
      </c>
      <c r="N1" s="4" t="inlineStr">
        <is>
          <t>Known_Issues</t>
        </is>
      </c>
      <c r="O1" s="4" t="inlineStr">
        <is>
          <t>Reboot_Required</t>
        </is>
      </c>
      <c r="P1" s="4" t="inlineStr">
        <is>
          <t>Tested_In_Lab</t>
        </is>
      </c>
      <c r="Q1" s="4" t="inlineStr">
        <is>
          <t>Compatibility_Notes</t>
        </is>
      </c>
      <c r="R1" s="4" t="inlineStr">
        <is>
          <t>Deployment_Count</t>
        </is>
      </c>
      <c r="S1" s="4" t="inlineStr">
        <is>
          <t>Success_Rate</t>
        </is>
      </c>
    </row>
    <row r="2">
      <c r="A2" t="inlineStr">
        <is>
          <t>STRUTS-2025-001</t>
        </is>
      </c>
      <c r="B2" t="inlineStr">
        <is>
          <t>Apache Struts</t>
        </is>
      </c>
      <c r="C2" t="inlineStr">
        <is>
          <t>2.5.30</t>
        </is>
      </c>
      <c r="D2" t="inlineStr">
        <is>
          <t>2.5.31</t>
        </is>
      </c>
      <c r="E2" s="5" t="n">
        <v>46027</v>
      </c>
      <c r="F2" t="inlineStr">
        <is>
          <t>Apache Foundation</t>
        </is>
      </c>
      <c r="G2" t="inlineStr">
        <is>
          <t>Security</t>
        </is>
      </c>
      <c r="H2" t="inlineStr">
        <is>
          <t>CVE-2025-12345</t>
        </is>
      </c>
      <c r="I2" t="inlineStr">
        <is>
          <t>https://struts.apache.org/security</t>
        </is>
      </c>
      <c r="J2" t="inlineStr">
        <is>
          <t>https://downloads.apache.org/struts/2.5.31</t>
        </is>
      </c>
      <c r="K2" t="inlineStr">
        <is>
          <t>a1b2c3...</t>
        </is>
      </c>
      <c r="L2" t="n">
        <v>15.3</v>
      </c>
      <c r="M2" t="inlineStr">
        <is>
          <t>Java 8+</t>
        </is>
      </c>
      <c r="N2" t="inlineStr">
        <is>
          <t>None</t>
        </is>
      </c>
      <c r="O2" t="inlineStr">
        <is>
          <t>Y</t>
        </is>
      </c>
      <c r="P2" t="inlineStr">
        <is>
          <t>Y</t>
        </is>
      </c>
      <c r="Q2" t="inlineStr">
        <is>
          <t>Compatible with all deployment methods</t>
        </is>
      </c>
      <c r="R2">
        <f>COUNTIF(Deployment_Log!$B:$B,A2)</f>
        <v/>
      </c>
      <c r="S2">
        <f>IFERROR(COUNTIFS(Deployment_Log!$B:$B,A2,Deployment_Log!$E:$E,"Success")/R2,0)</f>
        <v/>
      </c>
    </row>
    <row r="3">
      <c r="A3" t="inlineStr">
        <is>
          <t>API-2025-789</t>
        </is>
      </c>
      <c r="B3" t="inlineStr">
        <is>
          <t>API Gateway</t>
        </is>
      </c>
      <c r="C3" t="inlineStr">
        <is>
          <t>3.2.1</t>
        </is>
      </c>
      <c r="D3" t="inlineStr">
        <is>
          <t>3.2.2</t>
        </is>
      </c>
      <c r="E3" s="5" t="n">
        <v>46031</v>
      </c>
      <c r="F3" t="inlineStr">
        <is>
          <t>Vendor X</t>
        </is>
      </c>
      <c r="G3" t="inlineStr">
        <is>
          <t>Security</t>
        </is>
      </c>
      <c r="H3" t="inlineStr">
        <is>
          <t>CVE-2025-11111</t>
        </is>
      </c>
      <c r="I3" t="inlineStr">
        <is>
          <t>https://vendor-x.com/kb-789</t>
        </is>
      </c>
      <c r="J3" t="inlineStr">
        <is>
          <t>https://downloads.vendor-x.com/api-3.2.2</t>
        </is>
      </c>
      <c r="K3" t="inlineStr">
        <is>
          <t>d4e5f6...</t>
        </is>
      </c>
      <c r="L3" t="n">
        <v>42.1</v>
      </c>
      <c r="M3" t="inlineStr">
        <is>
          <t>API Gateway 3.x</t>
        </is>
      </c>
      <c r="N3" t="inlineStr">
        <is>
          <t>Known issue with load balancers</t>
        </is>
      </c>
      <c r="O3" t="inlineStr">
        <is>
          <t>N</t>
        </is>
      </c>
      <c r="P3" t="inlineStr">
        <is>
          <t>Y</t>
        </is>
      </c>
      <c r="Q3" t="inlineStr">
        <is>
          <t>Test with load balancer first</t>
        </is>
      </c>
      <c r="R3" t="n">
        <v>0</v>
      </c>
      <c r="S3" t="n">
        <v>0</v>
      </c>
    </row>
  </sheetData>
  <dataValidations count="2">
    <dataValidation sqref="G2:G1000" showDropDown="0" showInputMessage="0" showErrorMessage="0" allowBlank="0" type="list">
      <formula1>"Security,Bugfix,Feature,Critical"</formula1>
    </dataValidation>
    <dataValidation sqref="O2:O1000 P2:P1000" showDropDown="0" showInputMessage="0" showErrorMessage="0" allowBlank="0" type="list">
      <formula1>"Y,N,Pending"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50" customWidth="1" min="14" max="14"/>
    <col width="50" customWidth="1" min="15" max="15"/>
    <col width="20" customWidth="1" min="16" max="16"/>
    <col width="12" customWidth="1" min="17" max="17"/>
    <col width="18" customWidth="1" min="18" max="18"/>
    <col width="50" customWidth="1" min="19" max="19"/>
  </cols>
  <sheetData>
    <row r="1">
      <c r="A1" s="4" t="inlineStr">
        <is>
          <t>Test_ID</t>
        </is>
      </c>
      <c r="B1" s="4" t="inlineStr">
        <is>
          <t>Vuln_ID</t>
        </is>
      </c>
      <c r="C1" s="4" t="inlineStr">
        <is>
          <t>Patch_ID</t>
        </is>
      </c>
      <c r="D1" s="4" t="inlineStr">
        <is>
          <t>Test_Environment</t>
        </is>
      </c>
      <c r="E1" s="4" t="inlineStr">
        <is>
          <t>Test_Start_Date</t>
        </is>
      </c>
      <c r="F1" s="4" t="inlineStr">
        <is>
          <t>Test_End_Date</t>
        </is>
      </c>
      <c r="G1" s="4" t="inlineStr">
        <is>
          <t>Tester_Name</t>
        </is>
      </c>
      <c r="H1" s="4" t="inlineStr">
        <is>
          <t>Test_Type</t>
        </is>
      </c>
      <c r="I1" s="4" t="inlineStr">
        <is>
          <t>Test_Result</t>
        </is>
      </c>
      <c r="J1" s="4" t="inlineStr">
        <is>
          <t>Functional_Test</t>
        </is>
      </c>
      <c r="K1" s="4" t="inlineStr">
        <is>
          <t>Performance_Test</t>
        </is>
      </c>
      <c r="L1" s="4" t="inlineStr">
        <is>
          <t>Security_Test</t>
        </is>
      </c>
      <c r="M1" s="4" t="inlineStr">
        <is>
          <t>Regression_Test</t>
        </is>
      </c>
      <c r="N1" s="4" t="inlineStr">
        <is>
          <t>Issues_Found</t>
        </is>
      </c>
      <c r="O1" s="4" t="inlineStr">
        <is>
          <t>Resolution</t>
        </is>
      </c>
      <c r="P1" s="4" t="inlineStr">
        <is>
          <t>Sign_Off_By</t>
        </is>
      </c>
      <c r="Q1" s="4" t="inlineStr">
        <is>
          <t>Sign_Off_Date</t>
        </is>
      </c>
      <c r="R1" s="4" t="inlineStr">
        <is>
          <t>Proceed_To_Production</t>
        </is>
      </c>
      <c r="S1" s="4" t="inlineStr">
        <is>
          <t>Notes</t>
        </is>
      </c>
    </row>
    <row r="2">
      <c r="A2" t="inlineStr">
        <is>
          <t>TEST-001</t>
        </is>
      </c>
      <c r="B2" t="inlineStr">
        <is>
          <t>VULN-2026-001</t>
        </is>
      </c>
      <c r="C2" t="inlineStr">
        <is>
          <t>STRUTS-2025-001</t>
        </is>
      </c>
      <c r="D2" t="inlineStr">
        <is>
          <t>Lab-Prod-Mirror</t>
        </is>
      </c>
      <c r="E2" s="5" t="n">
        <v>46027.41666666666</v>
      </c>
      <c r="F2" s="5" t="n">
        <v>46027.58333333334</v>
      </c>
      <c r="G2" t="inlineStr">
        <is>
          <t>Security Engineer</t>
        </is>
      </c>
      <c r="H2" t="inlineStr">
        <is>
          <t>Functional</t>
        </is>
      </c>
      <c r="I2" t="inlineStr">
        <is>
          <t>Pass</t>
        </is>
      </c>
      <c r="J2" t="inlineStr">
        <is>
          <t>✅ Pass</t>
        </is>
      </c>
      <c r="K2" t="inlineStr">
        <is>
          <t>➖ N/A</t>
        </is>
      </c>
      <c r="L2" t="inlineStr">
        <is>
          <t>✅ Pass</t>
        </is>
      </c>
      <c r="M2" t="inlineStr">
        <is>
          <t>✅ Pass</t>
        </is>
      </c>
      <c r="N2" t="inlineStr">
        <is>
          <t>None</t>
        </is>
      </c>
      <c r="O2" t="inlineStr">
        <is>
          <t>N/A</t>
        </is>
      </c>
      <c r="P2" t="inlineStr">
        <is>
          <t>Team Lead</t>
        </is>
      </c>
      <c r="Q2" s="5" t="n">
        <v>46027</v>
      </c>
      <c r="R2" t="inlineStr">
        <is>
          <t>Y</t>
        </is>
      </c>
      <c r="S2" t="inlineStr">
        <is>
          <t>Fast-tracked emergency testing</t>
        </is>
      </c>
    </row>
  </sheetData>
  <dataValidations count="4">
    <dataValidation sqref="H2:H1000" showDropDown="0" showInputMessage="0" showErrorMessage="0" allowBlank="0" type="list">
      <formula1>"Functional,Regression,Performance,Security"</formula1>
    </dataValidation>
    <dataValidation sqref="I2:I1000" showDropDown="0" showInputMessage="0" showErrorMessage="0" allowBlank="0" type="list">
      <formula1>"Pass,Fail,Inconclusive"</formula1>
    </dataValidation>
    <dataValidation sqref="J2:J1000 K2:K1000 L2:L1000 M2:M1000" showDropDown="0" showInputMessage="0" showErrorMessage="0" allowBlank="0" type="list">
      <formula1>"✅ Pass,❌ Fail,⏳ Pending,➖ N/A"</formula1>
    </dataValidation>
    <dataValidation sqref="R2:R1000" showDropDown="0" showInputMessage="0" showErrorMessage="0" allowBlank="0" type="list">
      <formula1>"Y,N,Conditional"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  <col width="30" customWidth="1" min="6" max="6"/>
    <col width="20" customWidth="1" min="7" max="7"/>
    <col width="18" customWidth="1" min="8" max="8"/>
    <col width="12" customWidth="1" min="9" max="9"/>
    <col width="12" customWidth="1" min="10" max="10"/>
    <col width="14" customWidth="1" min="11" max="11"/>
    <col width="20" customWidth="1" min="12" max="12"/>
    <col width="20" customWidth="1" min="13" max="13"/>
    <col width="18" customWidth="1" min="14" max="14"/>
    <col width="18" customWidth="1" min="15" max="15"/>
    <col width="14" customWidth="1" min="16" max="16"/>
    <col width="60" customWidth="1" min="17" max="17"/>
    <col width="60" customWidth="1" min="18" max="18"/>
    <col width="16" customWidth="1" min="19" max="19"/>
    <col width="16" customWidth="1" min="20" max="20"/>
    <col width="20" customWidth="1" min="21" max="21"/>
    <col width="50" customWidth="1" min="22" max="22"/>
  </cols>
  <sheetData>
    <row r="1">
      <c r="A1" s="4" t="inlineStr">
        <is>
          <t>Log_ID</t>
        </is>
      </c>
      <c r="B1" s="4" t="inlineStr">
        <is>
          <t>Patch_ID</t>
        </is>
      </c>
      <c r="C1" s="4" t="inlineStr">
        <is>
          <t>Vuln_ID</t>
        </is>
      </c>
      <c r="D1" s="4" t="inlineStr">
        <is>
          <t>Deployment_Date</t>
        </is>
      </c>
      <c r="E1" s="4" t="inlineStr">
        <is>
          <t>Deployment_Status</t>
        </is>
      </c>
      <c r="F1" s="4" t="inlineStr">
        <is>
          <t>Affected_System</t>
        </is>
      </c>
      <c r="G1" s="4" t="inlineStr">
        <is>
          <t>Deployed_By</t>
        </is>
      </c>
      <c r="H1" s="4" t="inlineStr">
        <is>
          <t>Deployment_Method</t>
        </is>
      </c>
      <c r="I1" s="4" t="inlineStr">
        <is>
          <t>Start_Time</t>
        </is>
      </c>
      <c r="J1" s="4" t="inlineStr">
        <is>
          <t>End_Time</t>
        </is>
      </c>
      <c r="K1" s="4" t="inlineStr">
        <is>
          <t>Duration_Minutes</t>
        </is>
      </c>
      <c r="L1" s="4" t="inlineStr">
        <is>
          <t>Pre_Deployment_Backup</t>
        </is>
      </c>
      <c r="M1" s="4" t="inlineStr">
        <is>
          <t>Pre_Deployment_Snapshot</t>
        </is>
      </c>
      <c r="N1" s="4" t="inlineStr">
        <is>
          <t>Post_Deployment_Test</t>
        </is>
      </c>
      <c r="O1" s="4" t="inlineStr">
        <is>
          <t>Service_Interruption</t>
        </is>
      </c>
      <c r="P1" s="4" t="inlineStr">
        <is>
          <t>Downtime_Minutes</t>
        </is>
      </c>
      <c r="Q1" s="4" t="inlineStr">
        <is>
          <t>Error_Messages</t>
        </is>
      </c>
      <c r="R1" s="4" t="inlineStr">
        <is>
          <t>Resolution_Actions</t>
        </is>
      </c>
      <c r="S1" s="4" t="inlineStr">
        <is>
          <t>Rollback_Triggered</t>
        </is>
      </c>
      <c r="T1" s="4" t="inlineStr">
        <is>
          <t>Final_Status</t>
        </is>
      </c>
      <c r="U1" s="4" t="inlineStr">
        <is>
          <t>Verification_By</t>
        </is>
      </c>
      <c r="V1" s="4" t="inlineStr">
        <is>
          <t>Notes</t>
        </is>
      </c>
    </row>
    <row r="2">
      <c r="A2" t="inlineStr">
        <is>
          <t>LOG-001</t>
        </is>
      </c>
      <c r="B2" t="inlineStr">
        <is>
          <t>STRUTS-2025-001</t>
        </is>
      </c>
      <c r="C2" t="inlineStr">
        <is>
          <t>VULN-2026-001</t>
        </is>
      </c>
      <c r="D2" s="5" t="n">
        <v>46028.02083333334</v>
      </c>
      <c r="E2" t="inlineStr">
        <is>
          <t>Success</t>
        </is>
      </c>
      <c r="F2" t="inlineStr">
        <is>
          <t>web-prod-01.example.com</t>
        </is>
      </c>
      <c r="G2" t="inlineStr">
        <is>
          <t>Security Engineer</t>
        </is>
      </c>
      <c r="H2" t="inlineStr">
        <is>
          <t>Manual</t>
        </is>
      </c>
      <c r="I2" s="5" t="n">
        <v>46028.02083333334</v>
      </c>
      <c r="J2" s="5" t="n">
        <v>46028.05208333334</v>
      </c>
      <c r="K2">
        <f>(J2-I2)*1440</f>
        <v/>
      </c>
      <c r="L2" t="inlineStr">
        <is>
          <t>✅ Y</t>
        </is>
      </c>
      <c r="M2" t="inlineStr">
        <is>
          <t>✅ Y</t>
        </is>
      </c>
      <c r="N2" t="inlineStr">
        <is>
          <t>✅ Pass</t>
        </is>
      </c>
      <c r="O2" t="inlineStr">
        <is>
          <t>N</t>
        </is>
      </c>
      <c r="P2" t="n">
        <v>0</v>
      </c>
      <c r="Q2" t="inlineStr">
        <is>
          <t>None</t>
        </is>
      </c>
      <c r="R2" t="inlineStr">
        <is>
          <t>N/A</t>
        </is>
      </c>
      <c r="S2" t="inlineStr">
        <is>
          <t>N</t>
        </is>
      </c>
      <c r="T2" t="inlineStr">
        <is>
          <t>Deployed</t>
        </is>
      </c>
      <c r="U2" t="inlineStr">
        <is>
          <t>Team Lead</t>
        </is>
      </c>
      <c r="V2" t="inlineStr">
        <is>
          <t>Emergency deployment - successful</t>
        </is>
      </c>
    </row>
  </sheetData>
  <conditionalFormatting sqref="E2:E1000">
    <cfRule type="cellIs" priority="1" operator="equal" dxfId="9">
      <formula>"Success"</formula>
    </cfRule>
    <cfRule type="cellIs" priority="2" operator="equal" dxfId="10">
      <formula>"Failed"</formula>
    </cfRule>
    <cfRule type="cellIs" priority="3" operator="equal" dxfId="11">
      <formula>"Rolled Back"</formula>
    </cfRule>
  </conditionalFormatting>
  <conditionalFormatting sqref="L2:L1000">
    <cfRule type="cellIs" priority="4" operator="equal" dxfId="6">
      <formula>"❌ N"</formula>
    </cfRule>
  </conditionalFormatting>
  <dataValidations count="6">
    <dataValidation sqref="E2:E1000" showDropDown="0" showInputMessage="0" showErrorMessage="0" allowBlank="0" type="list">
      <formula1>"Success,Failed,Partial,Rolled Back"</formula1>
    </dataValidation>
    <dataValidation sqref="H2:H1000" showDropDown="0" showInputMessage="0" showErrorMessage="0" allowBlank="0" type="list">
      <formula1>"Manual,WSUS,SCCM,Ansible,Script,Other"</formula1>
    </dataValidation>
    <dataValidation sqref="L2:L1000 M2:M1000" showDropDown="0" showInputMessage="0" showErrorMessage="0" allowBlank="0" type="list">
      <formula1>"✅ Y,❌ N,➖ N/A"</formula1>
    </dataValidation>
    <dataValidation sqref="N2:N1000" showDropDown="0" showInputMessage="0" showErrorMessage="0" allowBlank="0" type="list">
      <formula1>"✅ Pass,❌ Fail,⏳ Pending"</formula1>
    </dataValidation>
    <dataValidation sqref="O2:O1000 S2:S1000" showDropDown="0" showInputMessage="0" showErrorMessage="0" allowBlank="0" type="list">
      <formula1>"Y,N"</formula1>
    </dataValidation>
    <dataValidation sqref="T2:T1000" showDropDown="0" showInputMessage="0" showErrorMessage="0" allowBlank="0" type="list">
      <formula1>"Deployed,Failed,Rolled Back"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20" customWidth="1" min="5" max="5"/>
    <col width="20" customWidth="1" min="6" max="6"/>
    <col width="18" customWidth="1" min="7" max="7"/>
    <col width="16" customWidth="1" min="8" max="8"/>
    <col width="20" customWidth="1" min="9" max="9"/>
    <col width="18" customWidth="1" min="10" max="10"/>
    <col width="18" customWidth="1" min="11" max="11"/>
    <col width="18" customWidth="1" min="12" max="12"/>
    <col width="16" customWidth="1" min="13" max="13"/>
    <col width="14" customWidth="1" min="14" max="14"/>
    <col width="14" customWidth="1" min="15" max="15"/>
    <col width="60" customWidth="1" min="16" max="16"/>
    <col width="60" customWidth="1" min="17" max="17"/>
    <col width="60" customWidth="1" min="18" max="18"/>
    <col width="60" customWidth="1" min="19" max="19"/>
    <col width="16" customWidth="1" min="20" max="20"/>
  </cols>
  <sheetData>
    <row r="1">
      <c r="A1" s="4" t="inlineStr">
        <is>
          <t>Rollback_ID</t>
        </is>
      </c>
      <c r="B1" s="4" t="inlineStr">
        <is>
          <t>Vuln_ID</t>
        </is>
      </c>
      <c r="C1" s="4" t="inlineStr">
        <is>
          <t>Patch_ID</t>
        </is>
      </c>
      <c r="D1" s="4" t="inlineStr">
        <is>
          <t>Deployment_Log_ID</t>
        </is>
      </c>
      <c r="E1" s="4" t="inlineStr">
        <is>
          <t>Rollback_Trigger</t>
        </is>
      </c>
      <c r="F1" s="4" t="inlineStr">
        <is>
          <t>Triggered_By</t>
        </is>
      </c>
      <c r="G1" s="4" t="inlineStr">
        <is>
          <t>Trigger_Date</t>
        </is>
      </c>
      <c r="H1" s="4" t="inlineStr">
        <is>
          <t>Approval_Required</t>
        </is>
      </c>
      <c r="I1" s="4" t="inlineStr">
        <is>
          <t>Approved_By</t>
        </is>
      </c>
      <c r="J1" s="4" t="inlineStr">
        <is>
          <t>Rollback_Method</t>
        </is>
      </c>
      <c r="K1" s="4" t="inlineStr">
        <is>
          <t>Rollback_Start</t>
        </is>
      </c>
      <c r="L1" s="4" t="inlineStr">
        <is>
          <t>Rollback_End</t>
        </is>
      </c>
      <c r="M1" s="4" t="inlineStr">
        <is>
          <t>Rollback_Status</t>
        </is>
      </c>
      <c r="N1" s="4" t="inlineStr">
        <is>
          <t>Service_Restored</t>
        </is>
      </c>
      <c r="O1" s="4" t="inlineStr">
        <is>
          <t>Data_Loss</t>
        </is>
      </c>
      <c r="P1" s="4" t="inlineStr">
        <is>
          <t>Impact_Description</t>
        </is>
      </c>
      <c r="Q1" s="4" t="inlineStr">
        <is>
          <t>Root_Cause</t>
        </is>
      </c>
      <c r="R1" s="4" t="inlineStr">
        <is>
          <t>Lessons_Learned</t>
        </is>
      </c>
      <c r="S1" s="4" t="inlineStr">
        <is>
          <t>Remediation_Plan</t>
        </is>
      </c>
      <c r="T1" s="4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0" customWidth="1" min="10" max="10"/>
    <col width="50" customWidth="1" min="11" max="11"/>
    <col width="16" customWidth="1" min="12" max="12"/>
    <col width="16" customWidth="1" min="13" max="13"/>
    <col width="50" customWidth="1" min="14" max="14"/>
    <col width="16" customWidth="1" min="15" max="15"/>
    <col width="16" customWidth="1" min="16" max="16"/>
    <col width="12" customWidth="1" min="17" max="17"/>
    <col width="20" customWidth="1" min="18" max="18"/>
  </cols>
  <sheetData>
    <row r="1">
      <c r="A1" s="4" t="inlineStr">
        <is>
          <t>Vuln_ID</t>
        </is>
      </c>
      <c r="B1" s="4" t="inlineStr">
        <is>
          <t>Final_Priority</t>
        </is>
      </c>
      <c r="C1" s="4" t="inlineStr">
        <is>
          <t>SLA_Days</t>
        </is>
      </c>
      <c r="D1" s="4" t="inlineStr">
        <is>
          <t>Discovery_Date</t>
        </is>
      </c>
      <c r="E1" s="4" t="inlineStr">
        <is>
          <t>Due_Date</t>
        </is>
      </c>
      <c r="F1" s="4" t="inlineStr">
        <is>
          <t>Days_Elapsed</t>
        </is>
      </c>
      <c r="G1" s="4" t="inlineStr">
        <is>
          <t>Days_Remaining</t>
        </is>
      </c>
      <c r="H1" s="4" t="inlineStr">
        <is>
          <t>SLA_Status</t>
        </is>
      </c>
      <c r="I1" s="4" t="inlineStr">
        <is>
          <t>Current_Status</t>
        </is>
      </c>
      <c r="J1" s="4" t="inlineStr">
        <is>
          <t>Blocker_Type</t>
        </is>
      </c>
      <c r="K1" s="4" t="inlineStr">
        <is>
          <t>Blocker_Description</t>
        </is>
      </c>
      <c r="L1" s="4" t="inlineStr">
        <is>
          <t>Escalation_Level</t>
        </is>
      </c>
      <c r="M1" s="4" t="inlineStr">
        <is>
          <t>Last_Escalation_Date</t>
        </is>
      </c>
      <c r="N1" s="4" t="inlineStr">
        <is>
          <t>Escalation_Notes</t>
        </is>
      </c>
      <c r="O1" s="4" t="inlineStr">
        <is>
          <t>Extension_Requested</t>
        </is>
      </c>
      <c r="P1" s="4" t="inlineStr">
        <is>
          <t>Extension_Approved</t>
        </is>
      </c>
      <c r="Q1" s="4" t="inlineStr">
        <is>
          <t>New_Due_Date</t>
        </is>
      </c>
      <c r="R1" s="4" t="inlineStr">
        <is>
          <t>Approver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40" customWidth="1" min="13" max="13"/>
  </cols>
  <sheetData>
    <row r="1">
      <c r="A1" s="4" t="inlineStr">
        <is>
          <t>Team_Name</t>
        </is>
      </c>
      <c r="B1" s="4" t="inlineStr">
        <is>
          <t>Team_Lead</t>
        </is>
      </c>
      <c r="C1" s="4" t="inlineStr">
        <is>
          <t>Total_FTE</t>
        </is>
      </c>
      <c r="D1" s="4" t="inlineStr">
        <is>
          <t>Weekly_Hours</t>
        </is>
      </c>
      <c r="E1" s="4" t="inlineStr">
        <is>
          <t>Assigned_P0</t>
        </is>
      </c>
      <c r="F1" s="4" t="inlineStr">
        <is>
          <t>Assigned_P1</t>
        </is>
      </c>
      <c r="G1" s="4" t="inlineStr">
        <is>
          <t>Assigned_P2</t>
        </is>
      </c>
      <c r="H1" s="4" t="inlineStr">
        <is>
          <t>Assigned_P3</t>
        </is>
      </c>
      <c r="I1" s="4" t="inlineStr">
        <is>
          <t>Total_Assigned</t>
        </is>
      </c>
      <c r="J1" s="4" t="inlineStr">
        <is>
          <t>Estimated_Hours</t>
        </is>
      </c>
      <c r="K1" s="4" t="inlineStr">
        <is>
          <t>Capacity_Used</t>
        </is>
      </c>
      <c r="L1" s="4" t="inlineStr">
        <is>
          <t>Status</t>
        </is>
      </c>
      <c r="M1" s="4" t="inlineStr">
        <is>
          <t>Availability_Notes</t>
        </is>
      </c>
    </row>
    <row r="2">
      <c r="A2" t="inlineStr">
        <is>
          <t>Security Team</t>
        </is>
      </c>
      <c r="B2" t="inlineStr">
        <is>
          <t>Security Director</t>
        </is>
      </c>
      <c r="C2" t="n">
        <v>4</v>
      </c>
      <c r="D2" t="n">
        <v>160</v>
      </c>
      <c r="E2">
        <f>COUNTIFS(Remediation_Queue!$H:$H,A2,Remediation_Queue!$T:$T,"P0",Remediation_Queue!$AN:$AN,"&lt;&gt;Complete")</f>
        <v/>
      </c>
      <c r="F2">
        <f>COUNTIFS(Remediation_Queue!$H:$H,A2,Remediation_Queue!$T:$T,"P1",Remediation_Queue!$AN:$AN,"&lt;&gt;Complete")</f>
        <v/>
      </c>
      <c r="G2">
        <f>COUNTIFS(Remediation_Queue!$H:$H,A2,Remediation_Queue!$T:$T,"P2",Remediation_Queue!$AN:$AN,"&lt;&gt;Complete")</f>
        <v/>
      </c>
      <c r="H2">
        <f>COUNTIFS(Remediation_Queue!$H:$H,A2,Remediation_Queue!$T:$T,"P3",Remediation_Queue!$AN:$AN,"&lt;&gt;Complete")</f>
        <v/>
      </c>
      <c r="I2">
        <f>SUM(E2:H2)</f>
        <v/>
      </c>
      <c r="J2">
        <f>(E2*2)+(F2*2.5)+(G2*3)+(H2*2)</f>
        <v/>
      </c>
      <c r="K2">
        <f>J2/D2</f>
        <v/>
      </c>
      <c r="L2">
        <f>IF(K2&gt;1,"🔴 Overloaded",IF(K2&gt;0.85,"🟡 At Capacity","🟢 Normal"))</f>
        <v/>
      </c>
      <c r="M2" t="inlineStr"/>
    </row>
    <row r="3">
      <c r="A3" t="inlineStr">
        <is>
          <t>Infrastructure Team</t>
        </is>
      </c>
      <c r="B3" t="inlineStr">
        <is>
          <t>Infrastructure Lead</t>
        </is>
      </c>
      <c r="C3" t="n">
        <v>12</v>
      </c>
      <c r="D3" t="n">
        <v>480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🟢 Normal</t>
        </is>
      </c>
      <c r="M3" t="inlineStr"/>
    </row>
    <row r="4">
      <c r="A4" t="inlineStr">
        <is>
          <t>Application Team</t>
        </is>
      </c>
      <c r="B4" t="inlineStr">
        <is>
          <t>App Development Lead</t>
        </is>
      </c>
      <c r="C4" t="n">
        <v>25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🟢 Normal</t>
        </is>
      </c>
      <c r="M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40" customWidth="1" min="5" max="5"/>
    <col width="30" customWidth="1" min="6" max="6"/>
    <col width="14" customWidth="1" min="7" max="7"/>
    <col width="6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4" customWidth="1" min="14" max="14"/>
    <col width="16" customWidth="1" min="15" max="15"/>
  </cols>
  <sheetData>
    <row r="1">
      <c r="A1" s="4" t="inlineStr">
        <is>
          <t>Communication_ID</t>
        </is>
      </c>
      <c r="B1" s="4" t="inlineStr">
        <is>
          <t>Date_Sent</t>
        </is>
      </c>
      <c r="C1" s="4" t="inlineStr">
        <is>
          <t>Communication_Type</t>
        </is>
      </c>
      <c r="D1" s="4" t="inlineStr">
        <is>
          <t>Audience</t>
        </is>
      </c>
      <c r="E1" s="4" t="inlineStr">
        <is>
          <t>Subject</t>
        </is>
      </c>
      <c r="F1" s="4" t="inlineStr">
        <is>
          <t>Related_Vulns</t>
        </is>
      </c>
      <c r="G1" s="4" t="inlineStr">
        <is>
          <t>Priority_Level</t>
        </is>
      </c>
      <c r="H1" s="4" t="inlineStr">
        <is>
          <t>Message_Summary</t>
        </is>
      </c>
      <c r="I1" s="4" t="inlineStr">
        <is>
          <t>Sent_By</t>
        </is>
      </c>
      <c r="J1" s="4" t="inlineStr">
        <is>
          <t>Acknowledgment_Required</t>
        </is>
      </c>
      <c r="K1" s="4" t="inlineStr">
        <is>
          <t>Acknowledgment_Received</t>
        </is>
      </c>
      <c r="L1" s="4" t="inlineStr">
        <is>
          <t>Response_Deadline</t>
        </is>
      </c>
      <c r="M1" s="4" t="inlineStr">
        <is>
          <t>Follow_Up_Required</t>
        </is>
      </c>
      <c r="N1" s="4" t="inlineStr">
        <is>
          <t>Follow_Up_Date</t>
        </is>
      </c>
      <c r="O1" s="4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60" customWidth="1" min="5" max="5"/>
    <col width="60" customWidth="1" min="6" max="6"/>
    <col width="60" customWidth="1" min="7" max="7"/>
    <col width="60" customWidth="1" min="8" max="8"/>
    <col width="20" customWidth="1" min="9" max="9"/>
    <col width="12" customWidth="1" min="10" max="10"/>
    <col width="16" customWidth="1" min="11" max="11"/>
    <col width="20" customWidth="1" min="12" max="12"/>
    <col width="14" customWidth="1" min="13" max="13"/>
    <col width="50" customWidth="1" min="14" max="14"/>
  </cols>
  <sheetData>
    <row r="1">
      <c r="A1" s="4" t="inlineStr">
        <is>
          <t>Review_ID</t>
        </is>
      </c>
      <c r="B1" s="4" t="inlineStr">
        <is>
          <t>Review_Date</t>
        </is>
      </c>
      <c r="C1" s="4" t="inlineStr">
        <is>
          <t>Vuln_ID</t>
        </is>
      </c>
      <c r="D1" s="4" t="inlineStr">
        <is>
          <t>Deployment_Type</t>
        </is>
      </c>
      <c r="E1" s="4" t="inlineStr">
        <is>
          <t>What_Went_Well</t>
        </is>
      </c>
      <c r="F1" s="4" t="inlineStr">
        <is>
          <t>What_Went_Wrong</t>
        </is>
      </c>
      <c r="G1" s="4" t="inlineStr">
        <is>
          <t>Root_Cause</t>
        </is>
      </c>
      <c r="H1" s="4" t="inlineStr">
        <is>
          <t>Improvement_Actions</t>
        </is>
      </c>
      <c r="I1" s="4" t="inlineStr">
        <is>
          <t>Action_Owner</t>
        </is>
      </c>
      <c r="J1" s="4" t="inlineStr">
        <is>
          <t>Target_Date</t>
        </is>
      </c>
      <c r="K1" s="4" t="inlineStr">
        <is>
          <t>Status</t>
        </is>
      </c>
      <c r="L1" s="4" t="inlineStr">
        <is>
          <t>Impact_Category</t>
        </is>
      </c>
      <c r="M1" s="4" t="inlineStr">
        <is>
          <t>Priority</t>
        </is>
      </c>
      <c r="N1" s="4" t="inlineStr">
        <is>
          <t>Follow_Up_Notes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  <col width="20" customWidth="1" min="4" max="4"/>
  </cols>
  <sheetData>
    <row r="1">
      <c r="A1" s="6" t="inlineStr">
        <is>
          <t>REMEDIATION PERFORMANCE METRICS</t>
        </is>
      </c>
    </row>
    <row r="3">
      <c r="A3" s="7" t="inlineStr">
        <is>
          <t>SECTION A: OVERALL PERFORMANCE</t>
        </is>
      </c>
    </row>
    <row r="5">
      <c r="A5" s="4" t="inlineStr">
        <is>
          <t>Metric</t>
        </is>
      </c>
      <c r="B5" s="4" t="inlineStr">
        <is>
          <t>Formula</t>
        </is>
      </c>
      <c r="C5" s="4" t="inlineStr">
        <is>
          <t>Target</t>
        </is>
      </c>
      <c r="D5" s="4" t="inlineStr">
        <is>
          <t>Actual</t>
        </is>
      </c>
    </row>
    <row r="6">
      <c r="A6" t="inlineStr">
        <is>
          <t>Total Active Remediations</t>
        </is>
      </c>
      <c r="B6">
        <f>COUNTA(Remediation_Queue!A:A)-1</f>
        <v/>
      </c>
      <c r="C6" t="inlineStr">
        <is>
          <t>&lt;500</t>
        </is>
      </c>
      <c r="D6" t="inlineStr">
        <is>
          <t>[Calculated]</t>
        </is>
      </c>
    </row>
    <row r="7">
      <c r="A7" t="inlineStr">
        <is>
          <t>SLA Compliance Rate</t>
        </is>
      </c>
      <c r="B7">
        <f>1-COUNTIF(Remediation_Queue!X:X,"Overdue")/COUNTA(Remediation_Queue!A:A)</f>
        <v/>
      </c>
      <c r="C7" t="inlineStr">
        <is>
          <t>&gt;95%</t>
        </is>
      </c>
      <c r="D7" t="inlineStr">
        <is>
          <t>[Calculated]</t>
        </is>
      </c>
    </row>
    <row r="8">
      <c r="A8" t="inlineStr">
        <is>
          <t>Average Remediation Time</t>
        </is>
      </c>
      <c r="B8">
        <f>AVERAGE(Deployment_Log!K:K)/1440</f>
        <v/>
      </c>
      <c r="C8" t="inlineStr">
        <is>
          <t>&lt;14 days</t>
        </is>
      </c>
      <c r="D8" t="inlineStr">
        <is>
          <t>[Calculated]</t>
        </is>
      </c>
    </row>
    <row r="9">
      <c r="A9" t="inlineStr">
        <is>
          <t>Deployment Success Rate</t>
        </is>
      </c>
      <c r="B9">
        <f>COUNTIF(Deployment_Log!E:E,"Success")/COUNTA(Deployment_Log!A:A)</f>
        <v/>
      </c>
      <c r="C9" t="inlineStr">
        <is>
          <t>&gt;98%</t>
        </is>
      </c>
      <c r="D9" t="inlineStr">
        <is>
          <t>[Calculated]</t>
        </is>
      </c>
    </row>
    <row r="10">
      <c r="A10" t="inlineStr">
        <is>
          <t>Patches Deployed MTD</t>
        </is>
      </c>
      <c r="B10">
        <f>COUNTIFS(Deployment_Log!D:D,"&gt;="&amp;EOMONTH(TODAY(),-1)+1,Deployment_Log!E:E,"Success")</f>
        <v/>
      </c>
      <c r="C10" t="inlineStr">
        <is>
          <t>-</t>
        </is>
      </c>
      <c r="D10" t="inlineStr">
        <is>
          <t>[Calculated]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6" customWidth="1" min="5" max="5"/>
    <col width="20" customWidth="1" min="6" max="6"/>
    <col width="30" customWidth="1" min="7" max="7"/>
    <col width="30" customWidth="1" min="8" max="8"/>
    <col width="50" customWidth="1" min="9" max="9"/>
    <col width="16" customWidth="1" min="10" max="10"/>
    <col width="20" customWidth="1" min="11" max="11"/>
  </cols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Action_Type</t>
        </is>
      </c>
      <c r="D1" s="4" t="inlineStr">
        <is>
          <t>Record_Type</t>
        </is>
      </c>
      <c r="E1" s="4" t="inlineStr">
        <is>
          <t>Record_ID</t>
        </is>
      </c>
      <c r="F1" s="4" t="inlineStr">
        <is>
          <t>Field_Changed</t>
        </is>
      </c>
      <c r="G1" s="4" t="inlineStr">
        <is>
          <t>Old_Value</t>
        </is>
      </c>
      <c r="H1" s="4" t="inlineStr">
        <is>
          <t>New_Value</t>
        </is>
      </c>
      <c r="I1" s="4" t="inlineStr">
        <is>
          <t>Change_Reason</t>
        </is>
      </c>
      <c r="J1" s="4" t="inlineStr">
        <is>
          <t>IP_Address</t>
        </is>
      </c>
      <c r="K1" s="4" t="inlineStr">
        <is>
          <t>Session_ID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2026-01-31T02:16:48Z</dcterms:created>
  <dcterms:modified xmlns:dcterms="http://purl.org/dc/terms/" xmlns:xsi="http://www.w3.org/2001/XMLSchema-instance" xsi:type="dcterms:W3CDTF">2026-01-31T02:16:48Z</dcterms:modified>
</cp:coreProperties>
</file>