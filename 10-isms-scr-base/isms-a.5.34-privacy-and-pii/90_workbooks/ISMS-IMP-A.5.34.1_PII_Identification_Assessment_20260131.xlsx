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PII System Inventory" sheetId="2" state="visible" r:id="rId2"/>
    <sheet xmlns:r="http://schemas.openxmlformats.org/officeDocument/2006/relationships" name="3. PII Data Flow Mapping" sheetId="3" state="visible" r:id="rId3"/>
    <sheet xmlns:r="http://schemas.openxmlformats.org/officeDocument/2006/relationships" name="4. ROPA (Record of Processing)" sheetId="4" state="visible" r:id="rId4"/>
    <sheet xmlns:r="http://schemas.openxmlformats.org/officeDocument/2006/relationships" name="5. PII Discovery Gaps" sheetId="5" state="visible" r:id="rId5"/>
    <sheet xmlns:r="http://schemas.openxmlformats.org/officeDocument/2006/relationships" name="6. Evidence Register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7">
    <dxf>
      <fill>
        <patternFill patternType="solid">
          <fgColor rgb="00D3D3D3"/>
          <bgColor rgb="00D3D3D3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0EE90"/>
          <bgColor rgb="0090EE90"/>
        </patternFill>
      </fill>
    </dxf>
    <dxf>
      <font>
        <b val="1"/>
        <color rgb="00FFFFFF"/>
      </font>
      <fill>
        <patternFill patternType="solid">
          <fgColor rgb="00006400"/>
          <bgColor rgb="00006400"/>
        </patternFill>
      </fill>
    </dxf>
    <dxf>
      <fill>
        <patternFill patternType="solid">
          <fgColor rgb="00FFA500"/>
          <bgColor rgb="00FFA5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ill>
        <patternFill patternType="solid">
          <fgColor rgb="0087CEEB"/>
          <bgColor rgb="0087CE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ISMS-IMP-A.5.34.1 - PII Identification and Classification Assessment</t>
        </is>
      </c>
    </row>
    <row r="3">
      <c r="A3" s="2" t="inlineStr"/>
      <c r="B3" s="3" t="inlineStr"/>
    </row>
    <row r="4">
      <c r="A4" s="2" t="inlineStr">
        <is>
          <t>Purpose:</t>
        </is>
      </c>
      <c r="B4" s="3" t="inlineStr">
        <is>
          <t>This workbook supports systematic identification and classification of all PII processed by the organization.</t>
        </is>
      </c>
    </row>
    <row r="5">
      <c r="A5" s="2" t="inlineStr"/>
      <c r="B5" s="3" t="inlineStr"/>
    </row>
    <row r="6">
      <c r="A6" s="2" t="inlineStr">
        <is>
          <t>Regulatory Compliance:</t>
        </is>
      </c>
      <c r="B6" s="3" t="inlineStr">
        <is>
          <t>- GDPR Article 30 (Record of Processing Activities - ROPA)</t>
        </is>
      </c>
    </row>
    <row r="7">
      <c r="A7" s="2" t="inlineStr"/>
      <c r="B7" s="3" t="inlineStr">
        <is>
          <t>- Swiss FADP Articles 5, 6, 8 (Data protection principles, PII categories)</t>
        </is>
      </c>
    </row>
    <row r="8">
      <c r="A8" s="2" t="inlineStr"/>
      <c r="B8" s="3" t="inlineStr">
        <is>
          <t>- ISO/IEC 27001:2022 Control A.5.34 (Privacy and Protection of PII)</t>
        </is>
      </c>
    </row>
    <row r="9">
      <c r="A9" s="2" t="inlineStr"/>
      <c r="B9" s="3" t="inlineStr"/>
    </row>
    <row r="10">
      <c r="A10" s="2" t="inlineStr">
        <is>
          <t>Assessment Scope:</t>
        </is>
      </c>
      <c r="B10" s="3" t="inlineStr">
        <is>
          <t>All systems, processes, and activities that collect, process, store, or transmit personal data.</t>
        </is>
      </c>
    </row>
    <row r="11">
      <c r="A11" s="2" t="inlineStr"/>
      <c r="B11" s="3" t="inlineStr"/>
    </row>
    <row r="12">
      <c r="A12" s="2" t="inlineStr">
        <is>
          <t>Completion Instructions:</t>
        </is>
      </c>
      <c r="B12" s="3" t="inlineStr"/>
    </row>
    <row r="13">
      <c r="A13" s="2" t="inlineStr"/>
      <c r="B13" s="3" t="inlineStr">
        <is>
          <t>1. Complete Sheet 2 (PII System Inventory) - identify all PII-containing systems</t>
        </is>
      </c>
    </row>
    <row r="14">
      <c r="A14" s="2" t="inlineStr"/>
      <c r="B14" s="3" t="inlineStr">
        <is>
          <t>2. Complete Sheet 3 (Data Flow Mapping) - map PII flows including cross-border transfers</t>
        </is>
      </c>
    </row>
    <row r="15">
      <c r="A15" s="2" t="inlineStr"/>
      <c r="B15" s="3" t="inlineStr">
        <is>
          <t>3. Complete Sheet 4 (ROPA) - create GDPR-compliant processing activity records</t>
        </is>
      </c>
    </row>
    <row r="16">
      <c r="A16" s="2" t="inlineStr"/>
      <c r="B16" s="3" t="inlineStr">
        <is>
          <t>4. Complete Sheet 5 (Gaps) - document non-compliant processing and remediation plans</t>
        </is>
      </c>
    </row>
    <row r="17">
      <c r="A17" s="2" t="inlineStr"/>
      <c r="B17" s="3" t="inlineStr">
        <is>
          <t>5. Complete Sheet 6 (Evidence) - link supporting evidence for audit trail</t>
        </is>
      </c>
    </row>
    <row r="18">
      <c r="A18" s="2" t="inlineStr"/>
      <c r="B18" s="3" t="inlineStr">
        <is>
          <t>6. Review Sheet 7 (Dashboard) - validate compliance metrics</t>
        </is>
      </c>
    </row>
    <row r="19">
      <c r="A19" s="2" t="inlineStr"/>
      <c r="B19" s="3" t="inlineStr">
        <is>
          <t>7. Obtain approvals in Sheet 8 (Sign-Off)</t>
        </is>
      </c>
    </row>
    <row r="20">
      <c r="A20" s="2" t="inlineStr"/>
      <c r="B20" s="3" t="inlineStr"/>
    </row>
    <row r="21">
      <c r="A21" s="2" t="inlineStr">
        <is>
          <t>Key Definitions:</t>
        </is>
      </c>
      <c r="B21" s="3" t="inlineStr"/>
    </row>
    <row r="22">
      <c r="A22" s="2" t="inlineStr"/>
      <c r="B22" s="3" t="inlineStr"/>
    </row>
    <row r="23">
      <c r="A23" s="2" t="inlineStr">
        <is>
          <t>Personal Data / PII:</t>
        </is>
      </c>
      <c r="B23" s="3" t="inlineStr">
        <is>
          <t>Any information relating to an identified or identifiable natural person (GDPR Art. 4(1), FADP Art. 5(a))</t>
        </is>
      </c>
    </row>
    <row r="24">
      <c r="A24" s="2" t="inlineStr"/>
      <c r="B24" s="3" t="inlineStr"/>
    </row>
    <row r="25">
      <c r="A25" s="2" t="inlineStr">
        <is>
          <t>PII Classifications:</t>
        </is>
      </c>
      <c r="B25" s="3" t="inlineStr"/>
    </row>
    <row r="26">
      <c r="A26" s="2" t="inlineStr">
        <is>
          <t>Basic PII:</t>
        </is>
      </c>
      <c r="B26" s="3" t="inlineStr">
        <is>
          <t>Standard personal data requiring baseline protection (names, emails, addresses, financial data)</t>
        </is>
      </c>
    </row>
    <row r="27">
      <c r="A27" s="2" t="inlineStr">
        <is>
          <t>Sensitive PII:</t>
        </is>
      </c>
      <c r="B27" s="3" t="inlineStr">
        <is>
          <t>Special category data per GDPR Art. 9 / FADP Art. 5(c) requiring enhanced protection:</t>
        </is>
      </c>
    </row>
    <row r="28">
      <c r="A28" s="2" t="inlineStr"/>
      <c r="B28" s="3" t="inlineStr">
        <is>
          <t xml:space="preserve">  • Health data, genetic data, biometric data (for unique identification)</t>
        </is>
      </c>
    </row>
    <row r="29">
      <c r="A29" s="2" t="inlineStr"/>
      <c r="B29" s="3" t="inlineStr">
        <is>
          <t xml:space="preserve">  • Racial/ethnic origin, political opinions, religious/philosophical beliefs</t>
        </is>
      </c>
    </row>
    <row r="30">
      <c r="A30" s="2" t="inlineStr"/>
      <c r="B30" s="3" t="inlineStr">
        <is>
          <t xml:space="preserve">  • Trade union membership, sex life/sexual orientation, private sphere (FADP)</t>
        </is>
      </c>
    </row>
    <row r="31">
      <c r="A31" s="2" t="inlineStr">
        <is>
          <t>Criminal Offense Data:</t>
        </is>
      </c>
      <c r="B31" s="3" t="inlineStr">
        <is>
          <t>Data relating to criminal convictions, offenses, or related security measures (GDPR Art. 10)</t>
        </is>
      </c>
    </row>
    <row r="32">
      <c r="A32" s="2" t="inlineStr"/>
      <c r="B32" s="3" t="inlineStr"/>
    </row>
    <row r="33">
      <c r="A33" s="2" t="inlineStr">
        <is>
          <t>Legal Bases (GDPR Art. 6):</t>
        </is>
      </c>
      <c r="B33" s="3" t="inlineStr"/>
    </row>
    <row r="34">
      <c r="A34" s="2" t="inlineStr"/>
      <c r="B34" s="3" t="inlineStr">
        <is>
          <t>Every processing activity MUST have a valid legal basis:</t>
        </is>
      </c>
    </row>
    <row r="35">
      <c r="A35" s="2" t="inlineStr">
        <is>
          <t>Consent:</t>
        </is>
      </c>
      <c r="B35" s="3" t="inlineStr">
        <is>
          <t>Data subject gave explicit consent for specific purpose (freely given, specific, informed, unambiguous, withdrawable)</t>
        </is>
      </c>
    </row>
    <row r="36">
      <c r="A36" s="2" t="inlineStr">
        <is>
          <t>Contract:</t>
        </is>
      </c>
      <c r="B36" s="3" t="inlineStr">
        <is>
          <t>Processing necessary to perform contract with data subject</t>
        </is>
      </c>
    </row>
    <row r="37">
      <c r="A37" s="2" t="inlineStr">
        <is>
          <t>Legal Obligation:</t>
        </is>
      </c>
      <c r="B37" s="3" t="inlineStr">
        <is>
          <t>Processing required by EU/Member State law</t>
        </is>
      </c>
    </row>
    <row r="38">
      <c r="A38" s="2" t="inlineStr">
        <is>
          <t>Vital Interests:</t>
        </is>
      </c>
      <c r="B38" s="3" t="inlineStr">
        <is>
          <t>Processing necessary to protect life/physical integrity (emergency only)</t>
        </is>
      </c>
    </row>
    <row r="39">
      <c r="A39" s="2" t="inlineStr">
        <is>
          <t>Public Task:</t>
        </is>
      </c>
      <c r="B39" s="3" t="inlineStr">
        <is>
          <t>Processing for task in public interest (typically public authorities only)</t>
        </is>
      </c>
    </row>
    <row r="40">
      <c r="A40" s="2" t="inlineStr">
        <is>
          <t>Legitimate Interests:</t>
        </is>
      </c>
      <c r="B40" s="3" t="inlineStr">
        <is>
          <t>Processing necessary for legitimate interests of controller/third party (requires LIA)</t>
        </is>
      </c>
    </row>
    <row r="41">
      <c r="A41" s="2" t="inlineStr"/>
      <c r="B41" s="3" t="inlineStr"/>
    </row>
    <row r="42">
      <c r="A42" s="2" t="inlineStr">
        <is>
          <t>Cross-Border Transfers:</t>
        </is>
      </c>
      <c r="B42" s="3" t="inlineStr">
        <is>
          <t>Personal data transferred outside EU/Switzerland requires safeguards:</t>
        </is>
      </c>
    </row>
    <row r="43">
      <c r="A43" s="2" t="inlineStr">
        <is>
          <t>Adequacy Decision:</t>
        </is>
      </c>
      <c r="B43" s="3" t="inlineStr">
        <is>
          <t>EU/CH recognizes destination country as providing adequate protection</t>
        </is>
      </c>
    </row>
    <row r="44">
      <c r="A44" s="2" t="inlineStr">
        <is>
          <t>SCCs:</t>
        </is>
      </c>
      <c r="B44" s="3" t="inlineStr">
        <is>
          <t>Standard Contractual Clauses (EU Commission approved contract terms)</t>
        </is>
      </c>
    </row>
    <row r="45">
      <c r="A45" s="2" t="inlineStr">
        <is>
          <t>BCRs:</t>
        </is>
      </c>
      <c r="B45" s="3" t="inlineStr">
        <is>
          <t>Binding Corporate Rules (intra-group transfer mechanism)</t>
        </is>
      </c>
    </row>
    <row r="46">
      <c r="A46" s="2" t="inlineStr">
        <is>
          <t>Derogations:</t>
        </is>
      </c>
      <c r="B46" s="3" t="inlineStr">
        <is>
          <t>Specific exceptions per GDPR Art. 49 / FADP Art. 17 (consent, contract, legal claims)</t>
        </is>
      </c>
    </row>
    <row r="47">
      <c r="A47" s="2" t="inlineStr"/>
      <c r="B47" s="3" t="inlineStr"/>
    </row>
    <row r="48">
      <c r="A48" s="2" t="inlineStr">
        <is>
          <t>Record of Processing Activities (ROPA):</t>
        </is>
      </c>
      <c r="B48" s="3" t="inlineStr">
        <is>
          <t>GDPR Article 30 mandates controllers maintain ROPA documenting:</t>
        </is>
      </c>
    </row>
    <row r="49">
      <c r="A49" s="2" t="inlineStr"/>
      <c r="B49" s="3" t="inlineStr">
        <is>
          <t xml:space="preserve">  • Purposes of processing</t>
        </is>
      </c>
    </row>
    <row r="50">
      <c r="A50" s="2" t="inlineStr"/>
      <c r="B50" s="3" t="inlineStr">
        <is>
          <t xml:space="preserve">  • Categories of data subjects and personal data</t>
        </is>
      </c>
    </row>
    <row r="51">
      <c r="A51" s="2" t="inlineStr"/>
      <c r="B51" s="3" t="inlineStr">
        <is>
          <t xml:space="preserve">  • Categories of recipients (including international transfers)</t>
        </is>
      </c>
    </row>
    <row r="52">
      <c r="A52" s="2" t="inlineStr"/>
      <c r="B52" s="3" t="inlineStr">
        <is>
          <t xml:space="preserve">  • Retention periods</t>
        </is>
      </c>
    </row>
    <row r="53">
      <c r="A53" s="2" t="inlineStr"/>
      <c r="B53" s="3" t="inlineStr">
        <is>
          <t xml:space="preserve">  • Technical and organizational security measures</t>
        </is>
      </c>
    </row>
    <row r="54">
      <c r="A54" s="2" t="inlineStr"/>
      <c r="B54" s="3" t="inlineStr"/>
    </row>
    <row r="55">
      <c r="A55" s="2" t="inlineStr">
        <is>
          <t>Assessment Frequency:</t>
        </is>
      </c>
      <c r="B55" s="3" t="inlineStr"/>
    </row>
    <row r="56">
      <c r="A56" s="2" t="inlineStr">
        <is>
          <t>Initial:</t>
        </is>
      </c>
      <c r="B56" s="3" t="inlineStr">
        <is>
          <t>Comprehensive assessment of all systems and processing activities</t>
        </is>
      </c>
    </row>
    <row r="57">
      <c r="A57" s="2" t="inlineStr">
        <is>
          <t>Quarterly:</t>
        </is>
      </c>
      <c r="B57" s="3" t="inlineStr">
        <is>
          <t>Update for new systems, changed processing, M&amp;A activity</t>
        </is>
      </c>
    </row>
    <row r="58">
      <c r="A58" s="2" t="inlineStr">
        <is>
          <t>Annual:</t>
        </is>
      </c>
      <c r="B58" s="3" t="inlineStr">
        <is>
          <t>Complete re-validation of all entries</t>
        </is>
      </c>
    </row>
    <row r="59">
      <c r="A59" s="2" t="inlineStr">
        <is>
          <t>Triggered:</t>
        </is>
      </c>
      <c r="B59" s="3" t="inlineStr">
        <is>
          <t>Material changes (new products, major system changes, regulatory changes)</t>
        </is>
      </c>
    </row>
    <row r="60">
      <c r="A60" s="2" t="inlineStr"/>
      <c r="B60" s="3" t="inlineStr"/>
    </row>
    <row r="61">
      <c r="A61" s="2" t="inlineStr">
        <is>
          <t>Support &amp; Questions:</t>
        </is>
      </c>
      <c r="B61" s="3" t="inlineStr">
        <is>
          <t>Contact DPO/Privacy Officer: [dpo@organization.com]</t>
        </is>
      </c>
    </row>
    <row r="62">
      <c r="A62" s="2" t="inlineStr"/>
      <c r="B62" s="3" t="inlineStr"/>
    </row>
    <row r="63">
      <c r="A63" s="2" t="inlineStr">
        <is>
          <t>Document Version:</t>
        </is>
      </c>
      <c r="B63" s="3" t="inlineStr">
        <is>
          <t>1.0</t>
        </is>
      </c>
    </row>
    <row r="64">
      <c r="A64" s="2" t="inlineStr">
        <is>
          <t>Generated Date:</t>
        </is>
      </c>
      <c r="B64" s="3" t="inlineStr">
        <is>
          <t>31.01.2026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30" customWidth="1" min="5" max="5"/>
    <col width="18" customWidth="1" min="6" max="6"/>
    <col width="20" customWidth="1" min="7" max="7"/>
    <col width="35" customWidth="1" min="8" max="8"/>
    <col width="20" customWidth="1" min="9" max="9"/>
    <col width="30" customWidth="1" min="10" max="10"/>
    <col width="18" customWidth="1" min="11" max="11"/>
    <col width="30" customWidth="1" min="12" max="12"/>
    <col width="25" customWidth="1" min="13" max="13"/>
    <col width="20" customWidth="1" min="14" max="14"/>
    <col width="15" customWidth="1" min="15" max="15"/>
    <col width="15" customWidth="1" min="16" max="16"/>
    <col width="20" customWidth="1" min="17" max="17"/>
    <col width="35" customWidth="1" min="18" max="18"/>
    <col width="20" customWidth="1" min="19" max="19"/>
    <col width="25" customWidth="1" min="20" max="20"/>
  </cols>
  <sheetData>
    <row r="1">
      <c r="A1" s="4" t="inlineStr">
        <is>
          <t>RowID</t>
        </is>
      </c>
      <c r="B1" s="4" t="inlineStr">
        <is>
          <t>Status</t>
        </is>
      </c>
      <c r="C1" s="4" t="inlineStr">
        <is>
          <t>System Name</t>
        </is>
      </c>
      <c r="D1" s="4" t="inlineStr">
        <is>
          <t>System Owner</t>
        </is>
      </c>
      <c r="E1" s="4" t="inlineStr">
        <is>
          <t>System Type</t>
        </is>
      </c>
      <c r="F1" s="4" t="inlineStr">
        <is>
          <t>PII Processing Role</t>
        </is>
      </c>
      <c r="G1" s="4" t="inlineStr">
        <is>
          <t>PII Data Subjects</t>
        </is>
      </c>
      <c r="H1" s="4" t="inlineStr">
        <is>
          <t>PII Categories</t>
        </is>
      </c>
      <c r="I1" s="4" t="inlineStr">
        <is>
          <t>PII Classification</t>
        </is>
      </c>
      <c r="J1" s="4" t="inlineStr">
        <is>
          <t>Sensitive PII Types (if applicable)</t>
        </is>
      </c>
      <c r="K1" s="4" t="inlineStr">
        <is>
          <t>Data Volume (approx. records)</t>
        </is>
      </c>
      <c r="L1" s="4" t="inlineStr">
        <is>
          <t>Hosting Location</t>
        </is>
      </c>
      <c r="M1" s="4" t="inlineStr">
        <is>
          <t>Access Level (who/how many)</t>
        </is>
      </c>
      <c r="N1" s="4" t="inlineStr">
        <is>
          <t>Discovery Method</t>
        </is>
      </c>
      <c r="O1" s="4" t="inlineStr">
        <is>
          <t>Discovery Date</t>
        </is>
      </c>
      <c r="P1" s="4" t="inlineStr">
        <is>
          <t>Last Updated</t>
        </is>
      </c>
      <c r="Q1" s="4" t="inlineStr">
        <is>
          <t>Updated By</t>
        </is>
      </c>
      <c r="R1" s="4" t="inlineStr">
        <is>
          <t>Notes</t>
        </is>
      </c>
      <c r="S1" s="4" t="inlineStr">
        <is>
          <t>Evidence Reference</t>
        </is>
      </c>
      <c r="T1" s="4" t="inlineStr">
        <is>
          <t>Review Comments</t>
        </is>
      </c>
    </row>
    <row r="2">
      <c r="A2">
        <f>TEXT(ROW()-1,"SYS-000")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>
        <f>TODAY()</f>
        <v/>
      </c>
      <c r="P2" s="5">
        <f>TODAY()</f>
        <v/>
      </c>
      <c r="Q2" s="5" t="n"/>
      <c r="R2" s="5" t="n"/>
      <c r="S2" s="5" t="n"/>
      <c r="T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3">
      <formula>"Validated"</formula>
    </cfRule>
  </conditionalFormatting>
  <conditionalFormatting sqref="I2:I1000">
    <cfRule type="cellIs" priority="5" operator="containsText" dxfId="4">
      <formula>"Sensitive"</formula>
    </cfRule>
    <cfRule type="cellIs" priority="6" operator="containsText" dxfId="5">
      <formula>"Criminal"</formula>
    </cfRule>
  </conditionalFormatting>
  <dataValidations count="5">
    <dataValidation sqref="B2:B1000" showDropDown="1" showInputMessage="0" showErrorMessage="0" allowBlank="1" errorTitle="Invalid Entry" error="Invalid value. Please select from dropdown." type="list">
      <formula1>"Not Started,In Progress,Complete,Validated"</formula1>
    </dataValidation>
    <dataValidation sqref="E2:E1000" showDropDown="1" showInputMessage="0" showErrorMessage="0" allowBlank="1" errorTitle="Invalid Entry" error="Invalid value. Please select from dropdown." type="list">
      <formula1>"Customer Relationship Management (CRM),Human Resources Information System (HRIS),Payroll System,Email System,Collaboration Tool (Slack, Teams, etc.),File Storage (Google Drive, SharePoint, etc.),Marketing Automation,Analytics Platform,E-Commerce / Shopping Cart,Payment Processing,Customer Support / Help Desk,Backup System,Database Server,Website / Web Application,Mobile Application,CCTV / Physical Security,Access Control System,Other"</formula1>
    </dataValidation>
    <dataValidation sqref="F2:F1000" showDropDown="1" showInputMessage="0" showErrorMessage="0" allowBlank="1" errorTitle="Invalid Entry" error="Invalid value. Please select from dropdown." type="list">
      <formula1>"Controller,Processor,Joint Controller"</formula1>
    </dataValidation>
    <dataValidation sqref="I2:I1000" showDropDown="1" showInputMessage="0" showErrorMessage="0" allowBlank="1" errorTitle="Invalid Entry" error="Invalid value. Please select from dropdown." type="list">
      <formula1>"Basic PII,Sensitive PII (GDPR Art. 9 / FADP Art. 5(c)),Criminal Offense Data (GDPR Art. 10 / FADP Art. 5(c)5)"</formula1>
    </dataValidation>
    <dataValidation sqref="N2:N1000" showDropDown="1" showInputMessage="0" showErrorMessage="0" allowBlank="1" errorTitle="Invalid Entry" error="Invalid value. Please select from dropdown." type="list">
      <formula1>"Automated Scan (DLP),Manual Survey,Interview (System Owner),Documentation Review,Database Schema Analysis,Other"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30" customWidth="1" min="5" max="5"/>
    <col width="18" customWidth="1" min="6" max="6"/>
    <col width="15" customWidth="1" min="7" max="7"/>
    <col width="30" customWidth="1" min="8" max="8"/>
    <col width="25" customWidth="1" min="9" max="9"/>
    <col width="18" customWidth="1" min="10" max="10"/>
    <col width="25" customWidth="1" min="11" max="11"/>
    <col width="15" customWidth="1" min="12" max="12"/>
    <col width="20" customWidth="1" min="13" max="13"/>
    <col width="30" customWidth="1" min="14" max="14"/>
    <col width="15" customWidth="1" min="15" max="15"/>
    <col width="20" customWidth="1" min="16" max="16"/>
    <col width="35" customWidth="1" min="17" max="17"/>
    <col width="15" customWidth="1" min="18" max="18"/>
    <col width="20" customWidth="1" min="19" max="19"/>
    <col width="35" customWidth="1" min="20" max="20"/>
    <col width="20" customWidth="1" min="21" max="21"/>
    <col width="25" customWidth="1" min="22" max="22"/>
  </cols>
  <sheetData>
    <row r="1">
      <c r="A1" s="4" t="inlineStr">
        <is>
          <t>RowID</t>
        </is>
      </c>
      <c r="B1" s="4" t="inlineStr">
        <is>
          <t>Status</t>
        </is>
      </c>
      <c r="C1" s="4" t="inlineStr">
        <is>
          <t>Source System</t>
        </is>
      </c>
      <c r="D1" s="4" t="inlineStr">
        <is>
          <t>Destination System</t>
        </is>
      </c>
      <c r="E1" s="4" t="inlineStr">
        <is>
          <t>PII Categories Transferred</t>
        </is>
      </c>
      <c r="F1" s="4" t="inlineStr">
        <is>
          <t>Transfer Method</t>
        </is>
      </c>
      <c r="G1" s="4" t="inlineStr">
        <is>
          <t>Transfer Frequency</t>
        </is>
      </c>
      <c r="H1" s="4" t="inlineStr">
        <is>
          <t>Purpose of Transfer</t>
        </is>
      </c>
      <c r="I1" s="4" t="inlineStr">
        <is>
          <t>Legal Basis (Art. 6)</t>
        </is>
      </c>
      <c r="J1" s="4" t="inlineStr">
        <is>
          <t>Recipient Type</t>
        </is>
      </c>
      <c r="K1" s="4" t="inlineStr">
        <is>
          <t>Recipient Name (if external)</t>
        </is>
      </c>
      <c r="L1" s="4" t="inlineStr">
        <is>
          <t>Cross-Border Transfer?</t>
        </is>
      </c>
      <c r="M1" s="4" t="inlineStr">
        <is>
          <t>Destination Country</t>
        </is>
      </c>
      <c r="N1" s="4" t="inlineStr">
        <is>
          <t>Transfer Mechanism</t>
        </is>
      </c>
      <c r="O1" s="4" t="inlineStr">
        <is>
          <t>SCC Date (if applicable)</t>
        </is>
      </c>
      <c r="P1" s="4" t="inlineStr">
        <is>
          <t>TIA Completed? (if cross-border)</t>
        </is>
      </c>
      <c r="Q1" s="4" t="inlineStr">
        <is>
          <t>Security Measures</t>
        </is>
      </c>
      <c r="R1" s="4" t="inlineStr">
        <is>
          <t>Last Updated</t>
        </is>
      </c>
      <c r="S1" s="4" t="inlineStr">
        <is>
          <t>Updated By</t>
        </is>
      </c>
      <c r="T1" s="4" t="inlineStr">
        <is>
          <t>Notes</t>
        </is>
      </c>
      <c r="U1" s="4" t="inlineStr">
        <is>
          <t>Evidence Reference</t>
        </is>
      </c>
      <c r="V1" s="4" t="inlineStr">
        <is>
          <t>Review Comments</t>
        </is>
      </c>
    </row>
    <row r="2">
      <c r="A2">
        <f>TEXT(ROW()-1,"FLOW-000")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>
        <f>TODAY()</f>
        <v/>
      </c>
      <c r="S2" s="5" t="n"/>
      <c r="T2" s="5" t="n"/>
      <c r="U2" s="5" t="n"/>
      <c r="V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3">
      <formula>"Validated"</formula>
    </cfRule>
  </conditionalFormatting>
  <conditionalFormatting sqref="L2:L1000">
    <cfRule type="expression" priority="5" dxfId="5">
      <formula>AND($L2="Yes",$N2="")</formula>
    </cfRule>
  </conditionalFormatting>
  <dataValidations count="8">
    <dataValidation sqref="B2:B1000" showDropDown="1" showInputMessage="0" showErrorMessage="0" allowBlank="1" errorTitle="Invalid Entry" error="Invalid value. Please select from dropdown." type="list">
      <formula1>"Not Started,In Progress,Complete,Validated"</formula1>
    </dataValidation>
    <dataValidation sqref="F2:F1000" showDropDown="1" showInputMessage="0" showErrorMessage="0" allowBlank="1" errorTitle="Invalid Entry" error="Invalid value. Please select from dropdown." type="list">
      <formula1>"API,File Transfer,Email,Manual Entry,Database Replication,Backup,Other"</formula1>
    </dataValidation>
    <dataValidation sqref="G2:G1000" showDropDown="1" showInputMessage="0" showErrorMessage="0" allowBlank="1" errorTitle="Invalid Entry" error="Invalid value. Please select from dropdown." type="list">
      <formula1>"Real-time,Hourly,Daily,Weekly,Monthly,On-Demand,One-Time"</formula1>
    </dataValidation>
    <dataValidation sqref="I2:I1000" showDropDown="1" showInputMessage="0" showErrorMessage="0" allowBlank="1" errorTitle="Invalid Entry" error="Invalid value. Please select from dropdown." type="list">
      <formula1>"Consent (Art. 6(1)(a)),Contract (Art. 6(1)(b)),Legal Obligation (Art. 6(1)(c)),Vital Interests (Art. 6(1)(d)),Public Task (Art. 6(1)(e)),Legitimate Interests (Art. 6(1)(f))"</formula1>
    </dataValidation>
    <dataValidation sqref="J2:J1000" showDropDown="1" showInputMessage="0" showErrorMessage="0" allowBlank="1" errorTitle="Invalid Entry" error="Invalid value. Please select from dropdown." type="list">
      <formula1>"Internal (within organization),Processor (processes on our behalf per Art. 28),Third Party (separate controller),Public Authority (government, regulator)"</formula1>
    </dataValidation>
    <dataValidation sqref="L2:L1000" showDropDown="1" showInputMessage="0" showErrorMessage="0" allowBlank="1" errorTitle="Invalid Entry" error="Invalid value. Please select from dropdown." type="list">
      <formula1>"Yes,No"</formula1>
    </dataValidation>
    <dataValidation sqref="N2:N1000" showDropDown="1" showInputMessage="0" showErrorMessage="0" allowBlank="1" errorTitle="Invalid Entry" error="Invalid value. Please select from dropdown." type="list">
      <formula1>"No cross-border transfer,Adequacy Decision (EU/CH recognizes country),Standard Contractual Clauses (SCCs),Binding Corporate Rules (BCRs),EU-US Data Privacy Framework (DPF) Certification,Derogation - Explicit Consent,Derogation - Contract Necessity,Derogation - Legal Claims,Derogation - Vital Interests,Derogation - Legitimate Interests (Occasional)"</formula1>
    </dataValidation>
    <dataValidation sqref="P2:P1000" showDropDown="1" showInputMessage="0" showErrorMessage="0" allowBlank="1" errorTitle="Invalid Entry" error="Invalid value. Please select from dropdown.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5" customWidth="1" min="5" max="5"/>
    <col width="30" customWidth="1" min="6" max="6"/>
    <col width="40" customWidth="1" min="7" max="7"/>
    <col width="25" customWidth="1" min="8" max="8"/>
    <col width="40" customWidth="1" min="9" max="9"/>
    <col width="18" customWidth="1" min="10" max="10"/>
    <col width="35" customWidth="1" min="11" max="11"/>
    <col width="30" customWidth="1" min="12" max="12"/>
    <col width="35" customWidth="1" min="13" max="13"/>
    <col width="30" customWidth="1" min="14" max="14"/>
    <col width="30" customWidth="1" min="15" max="15"/>
    <col width="15" customWidth="1" min="16" max="16"/>
    <col width="25" customWidth="1" min="17" max="17"/>
    <col width="35" customWidth="1" min="18" max="18"/>
    <col width="30" customWidth="1" min="19" max="19"/>
    <col width="35" customWidth="1" min="20" max="20"/>
    <col width="25" customWidth="1" min="21" max="21"/>
    <col width="40" customWidth="1" min="22" max="22"/>
    <col width="40" customWidth="1" min="23" max="23"/>
    <col width="30" customWidth="1" min="24" max="24"/>
    <col width="35" customWidth="1" min="25" max="25"/>
    <col width="15" customWidth="1" min="26" max="26"/>
    <col width="20" customWidth="1" min="27" max="27"/>
    <col width="18" customWidth="1" min="28" max="28"/>
    <col width="20" customWidth="1" min="29" max="29"/>
    <col width="15" customWidth="1" min="30" max="30"/>
    <col width="20" customWidth="1" min="31" max="31"/>
    <col width="40" customWidth="1" min="32" max="32"/>
    <col width="20" customWidth="1" min="33" max="33"/>
    <col width="30" customWidth="1" min="34" max="34"/>
  </cols>
  <sheetData>
    <row r="1">
      <c r="A1" s="4" t="inlineStr">
        <is>
          <t>RowID</t>
        </is>
      </c>
      <c r="B1" s="4" t="inlineStr">
        <is>
          <t>Status</t>
        </is>
      </c>
      <c r="C1" s="4" t="inlineStr">
        <is>
          <t>Processing Activity Name</t>
        </is>
      </c>
      <c r="D1" s="4" t="inlineStr">
        <is>
          <t>Purpose of Processing</t>
        </is>
      </c>
      <c r="E1" s="4" t="inlineStr">
        <is>
          <t>Legal Basis (Art. 6)</t>
        </is>
      </c>
      <c r="F1" s="4" t="inlineStr">
        <is>
          <t>Legal Basis (Art. 9 if special category)</t>
        </is>
      </c>
      <c r="G1" s="4" t="inlineStr">
        <is>
          <t>Legal Basis Justification</t>
        </is>
      </c>
      <c r="H1" s="4" t="inlineStr">
        <is>
          <t>Categories of Data Subjects</t>
        </is>
      </c>
      <c r="I1" s="4" t="inlineStr">
        <is>
          <t>Categories of Personal Data</t>
        </is>
      </c>
      <c r="J1" s="4" t="inlineStr">
        <is>
          <t>Contains Special Category Data?</t>
        </is>
      </c>
      <c r="K1" s="4" t="inlineStr">
        <is>
          <t>Specific Special Category Types</t>
        </is>
      </c>
      <c r="L1" s="4" t="inlineStr">
        <is>
          <t>Categories of Recipients (Internal)</t>
        </is>
      </c>
      <c r="M1" s="4" t="inlineStr">
        <is>
          <t>Categories of Recipients (Processors)</t>
        </is>
      </c>
      <c r="N1" s="4" t="inlineStr">
        <is>
          <t>Categories of Recipients (Third Parties)</t>
        </is>
      </c>
      <c r="O1" s="4" t="inlineStr">
        <is>
          <t>Categories of Recipients (Public Authorities)</t>
        </is>
      </c>
      <c r="P1" s="4" t="inlineStr">
        <is>
          <t>Transfers to Third Countries?</t>
        </is>
      </c>
      <c r="Q1" s="4" t="inlineStr">
        <is>
          <t>Third Countries</t>
        </is>
      </c>
      <c r="R1" s="4" t="inlineStr">
        <is>
          <t>Transfer Safeguards</t>
        </is>
      </c>
      <c r="S1" s="4" t="inlineStr">
        <is>
          <t>Retention Period</t>
        </is>
      </c>
      <c r="T1" s="4" t="inlineStr">
        <is>
          <t>Retention Justification</t>
        </is>
      </c>
      <c r="U1" s="4" t="inlineStr">
        <is>
          <t>Deletion Method</t>
        </is>
      </c>
      <c r="V1" s="4" t="inlineStr">
        <is>
          <t>Technical Security Measures</t>
        </is>
      </c>
      <c r="W1" s="4" t="inlineStr">
        <is>
          <t>Organizational Security Measures</t>
        </is>
      </c>
      <c r="X1" s="4" t="inlineStr">
        <is>
          <t>Data Sources</t>
        </is>
      </c>
      <c r="Y1" s="4" t="inlineStr">
        <is>
          <t>Data Subject Rights Supported</t>
        </is>
      </c>
      <c r="Z1" s="4" t="inlineStr">
        <is>
          <t>DPIA Completed?</t>
        </is>
      </c>
      <c r="AA1" s="4" t="inlineStr">
        <is>
          <t>DPIA Reference</t>
        </is>
      </c>
      <c r="AB1" s="4" t="inlineStr">
        <is>
          <t>LIA Completed? (if Leg. Interest)</t>
        </is>
      </c>
      <c r="AC1" s="4" t="inlineStr">
        <is>
          <t>LIA Reference</t>
        </is>
      </c>
      <c r="AD1" s="4" t="inlineStr">
        <is>
          <t>Last Updated</t>
        </is>
      </c>
      <c r="AE1" s="4" t="inlineStr">
        <is>
          <t>Updated By</t>
        </is>
      </c>
      <c r="AF1" s="4" t="inlineStr">
        <is>
          <t>Notes</t>
        </is>
      </c>
      <c r="AG1" s="4" t="inlineStr">
        <is>
          <t>Evidence Reference</t>
        </is>
      </c>
      <c r="AH1" s="4" t="inlineStr">
        <is>
          <t>Review Comments</t>
        </is>
      </c>
    </row>
    <row r="2">
      <c r="A2">
        <f>TEXT(ROW()-1,"ROPA-000")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>
        <f>TODAY()</f>
        <v/>
      </c>
      <c r="AE2" s="5" t="n"/>
      <c r="AF2" s="5" t="n"/>
      <c r="AG2" s="5" t="n"/>
      <c r="AH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3">
      <formula>"Validated"</formula>
    </cfRule>
  </conditionalFormatting>
  <conditionalFormatting sqref="E2:E1000">
    <cfRule type="expression" priority="5" dxfId="5">
      <formula>AND($B2&lt;&gt;"Not Started",$E2="")</formula>
    </cfRule>
  </conditionalFormatting>
  <conditionalFormatting sqref="F2:F1000">
    <cfRule type="expression" priority="6" dxfId="5">
      <formula>AND($J2="Yes",$F2="N/A (No special category data)")</formula>
    </cfRule>
  </conditionalFormatting>
  <dataValidations count="7">
    <dataValidation sqref="B2:B1000" showDropDown="1" showInputMessage="0" showErrorMessage="0" allowBlank="1" errorTitle="Invalid Entry" error="Invalid value. Please select from dropdown." type="list">
      <formula1>"Not Started,In Progress,Complete,Validated"</formula1>
    </dataValidation>
    <dataValidation sqref="E2:E1000" showDropDown="1" showInputMessage="0" showErrorMessage="0" allowBlank="1" errorTitle="Invalid Entry" error="Invalid value. Please select from dropdown." type="list">
      <formula1>"Consent (Art. 6(1)(a)),Contract (Art. 6(1)(b)),Legal Obligation (Art. 6(1)(c)),Vital Interests (Art. 6(1)(d)),Public Task (Art. 6(1)(e)),Legitimate Interests (Art. 6(1)(f))"</formula1>
    </dataValidation>
    <dataValidation sqref="F2:F1000" showDropDown="1" showInputMessage="0" showErrorMessage="0" allowBlank="1" errorTitle="Invalid Entry" error="Invalid value. Please select from dropdown." type="list">
      <formula1>"N/A (No special category data),Explicit Consent (Art. 9(2)(a)),Employment / Social Security (Art. 9(2)(b)),Vital Interests (Art. 9(2)(c)),Legitimate Activities of Foundation/Association (Art. 9(2)(d)),Made Public by Data Subject (Art. 9(2)(e)),Legal Claims (Art. 9(2)(f)),Substantial Public Interest (Art. 9(2)(g)),Health / Social Care (Art. 9(2)(h)),Public Health (Art. 9(2)(i)),Archiving / Research / Statistics (Art. 9(2)(j))"</formula1>
    </dataValidation>
    <dataValidation sqref="J2:J1000" showDropDown="1" showInputMessage="0" showErrorMessage="0" allowBlank="1" errorTitle="Invalid Entry" error="Invalid value. Please select from dropdown." type="list">
      <formula1>"Yes,No"</formula1>
    </dataValidation>
    <dataValidation sqref="P2:P1000" showDropDown="1" showInputMessage="0" showErrorMessage="0" allowBlank="1" errorTitle="Invalid Entry" error="Invalid value. Please select from dropdown." type="list">
      <formula1>"Yes,No"</formula1>
    </dataValidation>
    <dataValidation sqref="Z2:Z1000" showDropDown="1" showInputMessage="0" showErrorMessage="0" allowBlank="1" errorTitle="Invalid Entry" error="Invalid value. Please select from dropdown." type="list">
      <formula1>"Yes,No,N/A"</formula1>
    </dataValidation>
    <dataValidation sqref="AB2:AB1000" showDropDown="1" showInputMessage="0" showErrorMessage="0" allowBlank="1" errorTitle="Invalid Entry" error="Invalid value. Please select from dropdown.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45" customWidth="1" min="4" max="4"/>
    <col width="30" customWidth="1" min="5" max="5"/>
    <col width="12" customWidth="1" min="6" max="6"/>
    <col width="35" customWidth="1" min="7" max="7"/>
    <col width="45" customWidth="1" min="8" max="8"/>
    <col width="25" customWidth="1" min="9" max="9"/>
    <col width="18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40" customWidth="1" min="16" max="16"/>
    <col width="20" customWidth="1" min="17" max="17"/>
    <col width="30" customWidth="1" min="18" max="18"/>
  </cols>
  <sheetData>
    <row r="1">
      <c r="A1" s="4" t="inlineStr">
        <is>
          <t>GapID</t>
        </is>
      </c>
      <c r="B1" s="4" t="inlineStr">
        <is>
          <t>Status</t>
        </is>
      </c>
      <c r="C1" s="4" t="inlineStr">
        <is>
          <t>Gap Type</t>
        </is>
      </c>
      <c r="D1" s="4" t="inlineStr">
        <is>
          <t>Gap Description</t>
        </is>
      </c>
      <c r="E1" s="4" t="inlineStr">
        <is>
          <t>System/Activity Affected</t>
        </is>
      </c>
      <c r="F1" s="4" t="inlineStr">
        <is>
          <t>Risk Level</t>
        </is>
      </c>
      <c r="G1" s="4" t="inlineStr">
        <is>
          <t>Risk Justification</t>
        </is>
      </c>
      <c r="H1" s="4" t="inlineStr">
        <is>
          <t>Remediation Action</t>
        </is>
      </c>
      <c r="I1" s="4" t="inlineStr">
        <is>
          <t>Remediation Owner</t>
        </is>
      </c>
      <c r="J1" s="4" t="inlineStr">
        <is>
          <t>Target Completion Date</t>
        </is>
      </c>
      <c r="K1" s="4" t="inlineStr">
        <is>
          <t>Actual Completion Date</t>
        </is>
      </c>
      <c r="L1" s="4" t="inlineStr">
        <is>
          <t>Date Identified</t>
        </is>
      </c>
      <c r="M1" s="4" t="inlineStr">
        <is>
          <t>Identified By</t>
        </is>
      </c>
      <c r="N1" s="4" t="inlineStr">
        <is>
          <t>Last Updated</t>
        </is>
      </c>
      <c r="O1" s="4" t="inlineStr">
        <is>
          <t>Updated By</t>
        </is>
      </c>
      <c r="P1" s="4" t="inlineStr">
        <is>
          <t>Notes</t>
        </is>
      </c>
      <c r="Q1" s="4" t="inlineStr">
        <is>
          <t>Evidence Reference</t>
        </is>
      </c>
      <c r="R1" s="4" t="inlineStr">
        <is>
          <t>Review Comments</t>
        </is>
      </c>
    </row>
    <row r="2">
      <c r="A2">
        <f>TEXT(YEAR(TODAY()),"0000")&amp;"-GAP-"&amp;TEXT(ROW()-1,"000")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>
        <f>TODAY()</f>
        <v/>
      </c>
      <c r="M2" s="5" t="n"/>
      <c r="N2" s="5">
        <f>TODAY()</f>
        <v/>
      </c>
      <c r="O2" s="5" t="n"/>
      <c r="P2" s="5" t="n"/>
      <c r="Q2" s="5" t="n"/>
      <c r="R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4">
      <formula>"Open"</formula>
    </cfRule>
    <cfRule type="cellIs" priority="2" operator="equal" dxfId="1">
      <formula>"In Progress"</formula>
    </cfRule>
    <cfRule type="cellIs" priority="3" operator="equal" dxfId="2">
      <formula>"Completed"</formula>
    </cfRule>
  </conditionalFormatting>
  <conditionalFormatting sqref="F2:F1000">
    <cfRule type="cellIs" priority="4" operator="equal" dxfId="5">
      <formula>"Critical"</formula>
    </cfRule>
    <cfRule type="cellIs" priority="5" operator="equal" dxfId="4">
      <formula>"High"</formula>
    </cfRule>
    <cfRule type="cellIs" priority="6" operator="equal" dxfId="1">
      <formula>"Medium"</formula>
    </cfRule>
    <cfRule type="cellIs" priority="7" operator="equal" dxfId="6">
      <formula>"Low"</formula>
    </cfRule>
  </conditionalFormatting>
  <conditionalFormatting sqref="J2:J1000">
    <cfRule type="expression" priority="8" dxfId="5">
      <formula>AND($J2&lt;TODAY(),$B2&lt;&gt;"Completed")</formula>
    </cfRule>
  </conditionalFormatting>
  <dataValidations count="3">
    <dataValidation sqref="B2:B1000" showDropDown="1" showInputMessage="0" showErrorMessage="0" allowBlank="1" errorTitle="Invalid Entry" error="Invalid value. Please select from dropdown." type="list">
      <formula1>"Open,In Progress,Completed,Accepted"</formula1>
    </dataValidation>
    <dataValidation sqref="C2:C1000" showDropDown="1" showInputMessage="0" showErrorMessage="0" allowBlank="1" errorTitle="Invalid Entry" error="Invalid value. Please select from dropdown." type="list">
      <formula1>"Unknown System (Not in inventory),Undocumented Data Flow,Missing Legal Basis,Unclear Retention Period,Unverified Cross-Border Transfer,Missing Processor Agreement (GDPR Art. 28),Incomplete PII Categories,Missing DPIA (High-risk processing),Missing Consent Records,Shadow IT (Unknown to IT),Unlawful Processing,Inadequate Security Measures,Other"</formula1>
    </dataValidation>
    <dataValidation sqref="F2:F1000" showDropDown="1" showInputMessage="0" showErrorMessage="0" allowBlank="1" errorTitle="Invalid Entry" error="Invalid value. Please select from dropdown.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30" customWidth="1" min="4" max="4"/>
    <col width="25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8" customWidth="1" min="11" max="11"/>
    <col width="15" customWidth="1" min="12" max="12"/>
    <col width="20" customWidth="1" min="13" max="13"/>
    <col width="40" customWidth="1" min="14" max="14"/>
    <col width="30" customWidth="1" min="15" max="15"/>
  </cols>
  <sheetData>
    <row r="1">
      <c r="A1" s="4" t="inlineStr">
        <is>
          <t>EvidenceID</t>
        </is>
      </c>
      <c r="B1" s="4" t="inlineStr">
        <is>
          <t>Evidence Type</t>
        </is>
      </c>
      <c r="C1" s="4" t="inlineStr">
        <is>
          <t>Evidence Description</t>
        </is>
      </c>
      <c r="D1" s="4" t="inlineStr">
        <is>
          <t>Related System/Activity</t>
        </is>
      </c>
      <c r="E1" s="4" t="inlineStr">
        <is>
          <t>Related Sheet Reference</t>
        </is>
      </c>
      <c r="F1" s="4" t="inlineStr">
        <is>
          <t>Date Collected</t>
        </is>
      </c>
      <c r="G1" s="4" t="inlineStr">
        <is>
          <t>Collected By</t>
        </is>
      </c>
      <c r="H1" s="4" t="inlineStr">
        <is>
          <t>File Location/URL</t>
        </is>
      </c>
      <c r="I1" s="4" t="inlineStr">
        <is>
          <t>File Name</t>
        </is>
      </c>
      <c r="J1" s="4" t="inlineStr">
        <is>
          <t>Retention Period</t>
        </is>
      </c>
      <c r="K1" s="4" t="inlineStr">
        <is>
          <t>Confidentiality Level</t>
        </is>
      </c>
      <c r="L1" s="4" t="inlineStr">
        <is>
          <t>Last Updated</t>
        </is>
      </c>
      <c r="M1" s="4" t="inlineStr">
        <is>
          <t>Updated By</t>
        </is>
      </c>
      <c r="N1" s="4" t="inlineStr">
        <is>
          <t>Notes</t>
        </is>
      </c>
      <c r="O1" s="4" t="inlineStr">
        <is>
          <t>Review Comments</t>
        </is>
      </c>
    </row>
    <row r="2">
      <c r="A2">
        <f>"EVID-A534.1-"&amp;TEXT(ROW()-1,"000")</f>
        <v/>
      </c>
      <c r="B2" s="5" t="n"/>
      <c r="C2" s="5" t="n"/>
      <c r="D2" s="5" t="n"/>
      <c r="E2" s="5" t="n"/>
      <c r="F2" s="5">
        <f>TODAY()</f>
        <v/>
      </c>
      <c r="G2" s="5" t="n"/>
      <c r="H2" s="5" t="n"/>
      <c r="I2" s="5" t="n"/>
      <c r="J2" s="5" t="n"/>
      <c r="K2" s="5" t="n"/>
      <c r="L2" s="5">
        <f>TODAY()</f>
        <v/>
      </c>
      <c r="M2" s="5" t="n"/>
      <c r="N2" s="5" t="n"/>
      <c r="O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K2:K1000">
    <cfRule type="cellIs" priority="1" operator="equal" dxfId="5">
      <formula>"Restricted"</formula>
    </cfRule>
  </conditionalFormatting>
  <dataValidations count="3">
    <dataValidation sqref="B2:B1000" showDropDown="1" showInputMessage="0" showErrorMessage="0" allowBlank="1" errorTitle="Invalid Entry" error="Invalid value. Please select from dropdown." type="list">
      <formula1>"System Documentation,Interview Notes,DLP Scan Results,Contract (Processor Agreement, SCCs),Consent Form/Mechanism,Data Flow Diagram,Legal Basis Assessment (LIA),DPIA (Data Protection Impact Assessment),Retention Policy,Screenshot (System interface),Email Confirmation,Audit Report,Privacy Policy/Notice,Training Records,Other"</formula1>
    </dataValidation>
    <dataValidation sqref="J2:J1000" showDropDown="1" showInputMessage="0" showErrorMessage="0" allowBlank="1" errorTitle="Invalid Entry" error="Invalid value. Please select from dropdown." type="list">
      <formula1>"Permanent,3 years,5 years,7 years,10 years"</formula1>
    </dataValidation>
    <dataValidation sqref="K2:K1000" showDropDown="1" showInputMessage="0" showErrorMessage="0" allowBlank="1" errorTitle="Invalid Entry" error="Invalid value. Please select from dropdown." type="list">
      <formula1>"Public,Internal,Confidential,Restricted"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PII Identification &amp; Classification Dashboard</t>
        </is>
      </c>
    </row>
    <row r="3">
      <c r="A3" s="2" t="inlineStr"/>
    </row>
    <row r="4">
      <c r="A4" s="2" t="inlineStr">
        <is>
          <t>Assessment Date:</t>
        </is>
      </c>
      <c r="B4">
        <f>TEXT(TODAY(),"DD.MM.YYYY")</f>
        <v/>
      </c>
    </row>
    <row r="5">
      <c r="A5" s="2" t="inlineStr"/>
    </row>
    <row r="6">
      <c r="A6" s="2" t="inlineStr">
        <is>
          <t>SYSTEM INVENTORY METRICS:</t>
        </is>
      </c>
    </row>
    <row r="7">
      <c r="A7" s="2" t="inlineStr">
        <is>
          <t>Total Systems Assessed:</t>
        </is>
      </c>
      <c r="B7">
        <f>COUNTA('2. PII System Inventory'!C2:C1000)</f>
        <v/>
      </c>
    </row>
    <row r="8">
      <c r="A8" s="2" t="inlineStr">
        <is>
          <t>Systems with Basic PII:</t>
        </is>
      </c>
      <c r="B8">
        <f>COUNTIF('2. PII System Inventory'!I2:I1000,"Basic PII")</f>
        <v/>
      </c>
    </row>
    <row r="9">
      <c r="A9" s="2" t="inlineStr">
        <is>
          <t>Systems with Sensitive PII:</t>
        </is>
      </c>
      <c r="B9">
        <f>COUNTIF('2. PII System Inventory'!I2:I1000,"*Sensitive*")</f>
        <v/>
      </c>
    </row>
    <row r="10">
      <c r="A10" s="2" t="inlineStr">
        <is>
          <t>Systems with Criminal Data:</t>
        </is>
      </c>
      <c r="B10">
        <f>COUNTIF('2. PII System Inventory'!I2:I1000,"*Criminal*")</f>
        <v/>
      </c>
    </row>
    <row r="11">
      <c r="A11" s="2" t="inlineStr">
        <is>
          <t>Systems Status - Not Started:</t>
        </is>
      </c>
      <c r="B11">
        <f>COUNTIF('2. PII System Inventory'!B2:B1000,"Not Started")</f>
        <v/>
      </c>
    </row>
    <row r="12">
      <c r="A12" s="2" t="inlineStr">
        <is>
          <t>Systems Status - In Progress:</t>
        </is>
      </c>
      <c r="B12">
        <f>COUNTIF('2. PII System Inventory'!B2:B1000,"In Progress")</f>
        <v/>
      </c>
    </row>
    <row r="13">
      <c r="A13" s="2" t="inlineStr">
        <is>
          <t>Systems Status - Complete:</t>
        </is>
      </c>
      <c r="B13">
        <f>COUNTIF('2. PII System Inventory'!B2:B1000,"Complete")</f>
        <v/>
      </c>
    </row>
    <row r="14">
      <c r="A14" s="2" t="inlineStr">
        <is>
          <t>Systems Status - Validated:</t>
        </is>
      </c>
      <c r="B14">
        <f>COUNTIF('2. PII System Inventory'!B2:B1000,"Validated")</f>
        <v/>
      </c>
    </row>
    <row r="15">
      <c r="A15" s="2" t="inlineStr"/>
    </row>
    <row r="16">
      <c r="A16" s="2" t="inlineStr">
        <is>
          <t>DATA FLOW METRICS:</t>
        </is>
      </c>
    </row>
    <row r="17">
      <c r="A17" s="2" t="inlineStr">
        <is>
          <t>Total Data Flows Mapped:</t>
        </is>
      </c>
      <c r="B17">
        <f>COUNTA('3. PII Data Flow Mapping'!C2:C1000)</f>
        <v/>
      </c>
    </row>
    <row r="18">
      <c r="A18" s="2" t="inlineStr">
        <is>
          <t>Cross-Border Transfers:</t>
        </is>
      </c>
      <c r="B18">
        <f>COUNTIF('3. PII Data Flow Mapping'!L2:L1000,"Yes")</f>
        <v/>
      </c>
    </row>
    <row r="19">
      <c r="A19" s="2" t="inlineStr">
        <is>
          <t>Flows Missing Transfer Mechanism:</t>
        </is>
      </c>
      <c r="B19">
        <f>SUMPRODUCT(('3. PII Data Flow Mapping'!L2:L1000="Yes")*('3. PII Data Flow Mapping'!N2:N1000=""))</f>
        <v/>
      </c>
    </row>
    <row r="20">
      <c r="A20" s="2" t="inlineStr"/>
    </row>
    <row r="21">
      <c r="A21" s="2" t="inlineStr">
        <is>
          <t>ROPA METRICS:</t>
        </is>
      </c>
    </row>
    <row r="22">
      <c r="A22" s="2" t="inlineStr">
        <is>
          <t>Total Processing Activities:</t>
        </is>
      </c>
      <c r="B22">
        <f>COUNTA('4. ROPA (Record of Processing)'!C2:C1000)</f>
        <v/>
      </c>
    </row>
    <row r="23">
      <c r="A23" s="2" t="inlineStr">
        <is>
          <t>Activities with Special Category Data:</t>
        </is>
      </c>
      <c r="B23">
        <f>COUNTIF('4. ROPA (Record of Processing)'!J2:J1000,"Yes")</f>
        <v/>
      </c>
    </row>
    <row r="24">
      <c r="A24" s="2" t="inlineStr">
        <is>
          <t>Activities Missing Legal Basis:</t>
        </is>
      </c>
      <c r="B24">
        <f>SUMPRODUCT(('4. ROPA (Record of Processing)'!B2:B1000&lt;&gt;"Not Started")*('4. ROPA (Record of Processing)'!E2:E1000=""))</f>
        <v/>
      </c>
    </row>
    <row r="25">
      <c r="A25" s="2" t="inlineStr">
        <is>
          <t>Activities with Cross-Border Transfers:</t>
        </is>
      </c>
      <c r="B25">
        <f>COUNTIF('4. ROPA (Record of Processing)'!P2:P1000,"Yes")</f>
        <v/>
      </c>
    </row>
    <row r="26">
      <c r="A26" s="2" t="inlineStr"/>
    </row>
    <row r="27">
      <c r="A27" s="2" t="inlineStr">
        <is>
          <t>GAP ANALYSIS:</t>
        </is>
      </c>
    </row>
    <row r="28">
      <c r="A28" s="2" t="inlineStr">
        <is>
          <t>Total Gaps Identified:</t>
        </is>
      </c>
      <c r="B28">
        <f>COUNTA('5. PII Discovery Gaps'!A2:A1000)</f>
        <v/>
      </c>
    </row>
    <row r="29">
      <c r="A29" s="2" t="inlineStr">
        <is>
          <t>Gaps - Critical Risk:</t>
        </is>
      </c>
      <c r="B29">
        <f>COUNTIF('5. PII Discovery Gaps'!F2:F1000,"Critical")</f>
        <v/>
      </c>
    </row>
    <row r="30">
      <c r="A30" s="2" t="inlineStr">
        <is>
          <t>Gaps - High Risk:</t>
        </is>
      </c>
      <c r="B30">
        <f>COUNTIF('5. PII Discovery Gaps'!F2:F1000,"High")</f>
        <v/>
      </c>
    </row>
    <row r="31">
      <c r="A31" s="2" t="inlineStr">
        <is>
          <t>Gaps - Medium Risk:</t>
        </is>
      </c>
      <c r="B31">
        <f>COUNTIF('5. PII Discovery Gaps'!F2:F1000,"Medium")</f>
        <v/>
      </c>
    </row>
    <row r="32">
      <c r="A32" s="2" t="inlineStr">
        <is>
          <t>Gaps - Low Risk:</t>
        </is>
      </c>
      <c r="B32">
        <f>COUNTIF('5. PII Discovery Gaps'!F2:F1000,"Low")</f>
        <v/>
      </c>
    </row>
    <row r="33">
      <c r="A33" s="2" t="inlineStr">
        <is>
          <t>Gaps - Open:</t>
        </is>
      </c>
      <c r="B33">
        <f>COUNTIF('5. PII Discovery Gaps'!B2:B1000,"Open")</f>
        <v/>
      </c>
    </row>
    <row r="34">
      <c r="A34" s="2" t="inlineStr">
        <is>
          <t>Gaps - In Progress:</t>
        </is>
      </c>
      <c r="B34">
        <f>COUNTIF('5. PII Discovery Gaps'!B2:B1000,"In Progress")</f>
        <v/>
      </c>
    </row>
    <row r="35">
      <c r="A35" s="2" t="inlineStr">
        <is>
          <t>Gaps - Completed:</t>
        </is>
      </c>
      <c r="B35">
        <f>COUNTIF('5. PII Discovery Gaps'!B2:B1000,"Completed")</f>
        <v/>
      </c>
    </row>
    <row r="36">
      <c r="A36" s="2" t="inlineStr">
        <is>
          <t>Gaps - Overdue:</t>
        </is>
      </c>
      <c r="B36">
        <f>SUMPRODUCT(('5. PII Discovery Gaps'!J2:J1000&lt;TODAY())*('5. PII Discovery Gaps'!B2:B1000&lt;&gt;"Completed"))</f>
        <v/>
      </c>
    </row>
    <row r="37">
      <c r="A37" s="2" t="inlineStr"/>
    </row>
    <row r="38">
      <c r="A38" s="2" t="inlineStr">
        <is>
          <t>EVIDENCE METRICS:</t>
        </is>
      </c>
    </row>
    <row r="39">
      <c r="A39" s="2" t="inlineStr">
        <is>
          <t>Total Evidence Items Collected:</t>
        </is>
      </c>
      <c r="B39">
        <f>COUNTA('6. Evidence Register'!A2:A1000)</f>
        <v/>
      </c>
    </row>
    <row r="40">
      <c r="A40" s="2" t="inlineStr"/>
    </row>
    <row r="41">
      <c r="A41" s="2" t="inlineStr">
        <is>
          <t>COMPLIANCE STATUS:</t>
        </is>
      </c>
    </row>
    <row r="42">
      <c r="A42" s="2" t="inlineStr">
        <is>
          <t>Assessment Completion Rate:</t>
        </is>
      </c>
      <c r="B42">
        <f>IFERROR(TEXT(COUNTIF('2. PII System Inventory'!B2:B1000,"Validated")/COUNTA('2. PII System Inventory'!C2:C1000),"0%"),"0%")</f>
        <v/>
      </c>
    </row>
    <row r="43">
      <c r="A43" s="2" t="inlineStr">
        <is>
          <t>Critical/High Risk Gaps:</t>
        </is>
      </c>
      <c r="B43">
        <f>COUNTIF('5. PII Discovery Gaps'!F2:F1000,"Critical")+COUNTIF('5. PII Discovery Gaps'!F2:F1000,"High")</f>
        <v/>
      </c>
    </row>
    <row r="44">
      <c r="A44" s="2" t="inlineStr"/>
    </row>
    <row r="45">
      <c r="A45" s="2" t="inlineStr">
        <is>
          <t>NEXT ACTIONS:</t>
        </is>
      </c>
    </row>
    <row r="46">
      <c r="A46" s="2" t="inlineStr"/>
      <c r="B46" t="inlineStr">
        <is>
          <t>1. Review and remediate Critical/High risk gaps</t>
        </is>
      </c>
    </row>
    <row r="47">
      <c r="A47" s="2" t="inlineStr"/>
      <c r="B47" t="inlineStr">
        <is>
          <t>2. Validate all systems marked 'Complete' → 'Validated'</t>
        </is>
      </c>
    </row>
    <row r="48">
      <c r="A48" s="2" t="inlineStr"/>
      <c r="B48" t="inlineStr">
        <is>
          <t>3. Complete missing legal basis documentation</t>
        </is>
      </c>
    </row>
    <row r="49">
      <c r="A49" s="2" t="inlineStr"/>
      <c r="B49" t="inlineStr">
        <is>
          <t>4. Obtain Standard Contractual Clauses for cross-border transfers without safeguards</t>
        </is>
      </c>
    </row>
    <row r="50">
      <c r="A50" s="2" t="inlineStr"/>
      <c r="B50" t="inlineStr">
        <is>
          <t>5. Conduct DPIAs for high-risk processing activities</t>
        </is>
      </c>
    </row>
    <row r="51">
      <c r="A51" s="2" t="inlineStr"/>
      <c r="B51" t="inlineStr">
        <is>
          <t>6. Obtain executive approvals in Sheet 8 (Sign-Off)</t>
        </is>
      </c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Assessment Approval &amp; Sign-Off</t>
        </is>
      </c>
    </row>
    <row r="3">
      <c r="A3" s="4" t="inlineStr">
        <is>
          <t>Signatory Role</t>
        </is>
      </c>
      <c r="B3" s="4" t="inlineStr">
        <is>
          <t>Signatory Name</t>
        </is>
      </c>
      <c r="C3" s="4" t="inlineStr">
        <is>
          <t>Signature / Electronic Approval</t>
        </is>
      </c>
      <c r="D3" s="4" t="inlineStr">
        <is>
          <t>Signature Date</t>
        </is>
      </c>
      <c r="E3" s="4" t="inlineStr">
        <is>
          <t>Approval Scope</t>
        </is>
      </c>
      <c r="F3" s="4" t="inlineStr">
        <is>
          <t>Comments</t>
        </is>
      </c>
      <c r="G3" s="4" t="inlineStr">
        <is>
          <t>Contact Email</t>
        </is>
      </c>
    </row>
    <row r="4">
      <c r="A4" s="5" t="inlineStr">
        <is>
          <t>Assessment Lead (DPO / Privacy Officer)</t>
        </is>
      </c>
      <c r="B4" s="5" t="inlineStr"/>
      <c r="C4" s="5" t="inlineStr"/>
      <c r="D4" s="5" t="inlineStr"/>
      <c r="E4" s="5" t="inlineStr">
        <is>
          <t>Assessment methodology, completeness, ROPA compliance</t>
        </is>
      </c>
      <c r="F4" s="5" t="inlineStr"/>
      <c r="G4" s="5" t="inlineStr"/>
    </row>
    <row r="5">
      <c r="A5" s="5" t="inlineStr">
        <is>
          <t>Chief Information Security Officer (CISO)</t>
        </is>
      </c>
      <c r="B5" s="5" t="inlineStr"/>
      <c r="C5" s="5" t="inlineStr"/>
      <c r="D5" s="5" t="inlineStr"/>
      <c r="E5" s="5" t="inlineStr">
        <is>
          <t>Technical accuracy, security measures documentation</t>
        </is>
      </c>
      <c r="F5" s="5" t="inlineStr"/>
      <c r="G5" s="5" t="inlineStr"/>
    </row>
    <row r="6">
      <c r="A6" s="5" t="inlineStr">
        <is>
          <t>Legal / Compliance Officer</t>
        </is>
      </c>
      <c r="B6" s="5" t="inlineStr"/>
      <c r="C6" s="5" t="inlineStr"/>
      <c r="D6" s="5" t="inlineStr"/>
      <c r="E6" s="5" t="inlineStr">
        <is>
          <t>Legal bases validity, regulatory compliance</t>
        </is>
      </c>
      <c r="F6" s="5" t="inlineStr"/>
      <c r="G6" s="5" t="inlineStr"/>
    </row>
    <row r="7">
      <c r="A7" s="5" t="inlineStr">
        <is>
          <t>Executive Sponsor</t>
        </is>
      </c>
      <c r="B7" s="5" t="inlineStr"/>
      <c r="C7" s="5" t="inlineStr"/>
      <c r="D7" s="5" t="inlineStr"/>
      <c r="E7" s="5" t="inlineStr">
        <is>
          <t>Final approval, gap remediation support</t>
        </is>
      </c>
      <c r="F7" s="5" t="inlineStr"/>
      <c r="G7" s="5" t="inlineStr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mergeCells count="1">
    <mergeCell ref="A1:G1"/>
  </mergeCells>
  <conditionalFormatting sqref="D4:D1000">
    <cfRule type="expression" priority="1" dxfId="4">
      <formula>$D4=""</formula>
    </cfRule>
  </conditionalFormatting>
  <dataValidations count="1">
    <dataValidation sqref="A4:A1000" showDropDown="1" showInputMessage="0" showErrorMessage="0" allowBlank="1" errorTitle="Invalid Entry" error="Invalid value. Please select from dropdown." type="list">
      <formula1>"Assessment Lead (DPO / Privacy Officer),Chief Information Security Officer (CISO),Legal / Compliance Officer,Data Owner - HR,Data Owner - Sales/Marketing,Data Owner - Finance,Data Owner - IT,Executive Sponsor"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2026-01-31T02:16:04Z</dcterms:created>
  <dcterms:modified xmlns:dcterms="http://purl.org/dc/terms/" xmlns:xsi="http://www.w3.org/2001/XMLSchema-instance" xsi:type="dcterms:W3CDTF">2026-01-31T02:16:04Z</dcterms:modified>
</cp:coreProperties>
</file>